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dfai\Downloads\"/>
    </mc:Choice>
  </mc:AlternateContent>
  <xr:revisionPtr revIDLastSave="0" documentId="8_{D68A874A-E4A2-486C-8BAF-2AC0D99801D2}" xr6:coauthVersionLast="47" xr6:coauthVersionMax="47" xr10:uidLastSave="{00000000-0000-0000-0000-000000000000}"/>
  <bookViews>
    <workbookView xWindow="-120" yWindow="-120" windowWidth="20730" windowHeight="11040" activeTab="1" xr2:uid="{07717157-D2CF-451C-A9A7-FF8FD6105A3D}"/>
  </bookViews>
  <sheets>
    <sheet name=" Pivot Report" sheetId="9" r:id="rId1"/>
    <sheet name=" Dashboard" sheetId="6" r:id="rId2"/>
    <sheet name=" Total Patient" sheetId="7" r:id="rId3"/>
    <sheet name=" AVG Wait Time" sheetId="10" r:id="rId4"/>
    <sheet name=" AVG Satisfaction Score" sheetId="11" r:id="rId5"/>
  </sheets>
  <definedNames>
    <definedName name="Slicer_Date__Month">#N/A</definedName>
    <definedName name="Slicer_Date__Year">#N/A</definedName>
  </definedNames>
  <calcPr calcId="191029"/>
  <pivotCaches>
    <pivotCache cacheId="2954" r:id="rId6"/>
    <pivotCache cacheId="2957" r:id="rId7"/>
    <pivotCache cacheId="2960" r:id="rId8"/>
    <pivotCache cacheId="2963" r:id="rId9"/>
    <pivotCache cacheId="2966" r:id="rId10"/>
    <pivotCache cacheId="2969" r:id="rId11"/>
    <pivotCache cacheId="2972" r:id="rId12"/>
    <pivotCache cacheId="2975" r:id="rId13"/>
    <pivotCache cacheId="2978" r:id="rId14"/>
    <pivotCache cacheId="2981" r:id="rId15"/>
    <pivotCache cacheId="2984" r:id="rId16"/>
    <pivotCache cacheId="2987" r:id="rId17"/>
  </pivotCaches>
  <extLst>
    <ext xmlns:x14="http://schemas.microsoft.com/office/spreadsheetml/2009/9/main" uri="{876F7934-8845-4945-9796-88D515C7AA90}">
      <x14:pivotCaches>
        <pivotCache cacheId="2451" r:id="rId18"/>
        <pivotCache cacheId="260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278e010-7c50-444d-9e34-21a38ff54ee3" name="Hospital Emergency Room Data" connection="Query - Hospital Emergency Room Data"/>
          <x15:modelTable id="Calendar_39d3cbc0-5e08-40f4-bf53-baf9823628de" name="Calendar" connection="Query - Calendar"/>
        </x15:modelTables>
        <x15:modelRelationships>
          <x15:modelRelationship fromTable="Hospital Emergency Room Data"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5" i="9" l="1"/>
  <c r="C45" i="9"/>
  <c r="D45" i="9"/>
  <c r="C46" i="9"/>
  <c r="D46" i="9"/>
  <c r="B4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2532BD-3448-46DC-95D6-2FD00D36AE42}" name="Query - Calendar" description="Connection to the 'Calendar' query in the workbook." type="100" refreshedVersion="8" minRefreshableVersion="5">
    <extLst>
      <ext xmlns:x15="http://schemas.microsoft.com/office/spreadsheetml/2010/11/main" uri="{DE250136-89BD-433C-8126-D09CA5730AF9}">
        <x15:connection id="83ce569a-61c4-48df-ab02-0a3d9f6f1e91"/>
      </ext>
    </extLst>
  </connection>
  <connection id="2" xr16:uid="{FF623477-B7C7-4747-BE85-54A994FA126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5723675-2f4c-4fd2-b173-46d4d6ab81ef"/>
      </ext>
    </extLst>
  </connection>
  <connection id="3" xr16:uid="{FB553EE5-28D3-420B-8771-0BA06B18CB9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<sst xmlns="http://schemas.openxmlformats.org/spreadsheetml/2006/main" count="152" uniqueCount="71">
  <si>
    <t>Count of Patient Id</t>
  </si>
  <si>
    <t>Average of Patient Waittime</t>
  </si>
  <si>
    <t>Average of Patient Satisfaction Score</t>
  </si>
  <si>
    <t>Row Labels</t>
  </si>
  <si>
    <t>Grand Total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</si>
  <si>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</si>
  <si>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</si>
  <si>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</si>
  <si>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</si>
  <si>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</si>
  <si>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</si>
  <si>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</si>
  <si>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</si>
  <si>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</si>
  <si>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</si>
  <si>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</si>
  <si>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</si>
  <si>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</si>
  <si>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</si>
  <si>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</si>
  <si>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</si>
  <si>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</si>
  <si>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</si>
  <si>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</si>
  <si>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</si>
  <si>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</si>
  <si>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</si>
  <si>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</si>
  <si>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</si>
  <si>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</si>
  <si>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</si>
  <si>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</si>
  <si>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</si>
  <si>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</si>
  <si>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</si>
  <si>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</si>
  <si>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</si>
  <si>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 xml:space="preserve"> Dashboard'!A1</t>
  </si>
  <si>
    <t>Admitted</t>
  </si>
  <si>
    <t>Not Admitted</t>
  </si>
  <si>
    <t>Count of Patient Admission Flag</t>
  </si>
  <si>
    <t>Count of Patient Admission Flag2</t>
  </si>
  <si>
    <t>Admission Status</t>
  </si>
  <si>
    <t>%Status</t>
  </si>
  <si>
    <t xml:space="preserve"> Patients</t>
  </si>
  <si>
    <t>0-09</t>
  </si>
  <si>
    <t>10-19</t>
  </si>
  <si>
    <t>20-29</t>
  </si>
  <si>
    <t>30-39</t>
  </si>
  <si>
    <t>40-49</t>
  </si>
  <si>
    <t>50-59</t>
  </si>
  <si>
    <t>60-69</t>
  </si>
  <si>
    <t>70-79</t>
  </si>
  <si>
    <t>Count of Patient Age Group</t>
  </si>
  <si>
    <t>Age Group by Patients</t>
  </si>
  <si>
    <t>Delay</t>
  </si>
  <si>
    <t>On-Time</t>
  </si>
  <si>
    <t>Count of Patient Status</t>
  </si>
  <si>
    <t>Patients Status</t>
  </si>
  <si>
    <t>Female</t>
  </si>
  <si>
    <t>Male</t>
  </si>
  <si>
    <t>Count of Patient 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</si>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</sst>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bgColor indexed="64"/>
      </patternFill>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14">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69" fontId="0" fillId="0" borderId="0" xfId="0" applyNumberFormat="1"/>
    <xf numFmtId="0" fontId="4" fillId="2" borderId="0" xfId="2" quotePrefix="1" applyFill="1"/>
    <xf numFmtId="10" fontId="0" fillId="0" borderId="0" xfId="0" applyNumberFormat="1"/>
    <xf numFmtId="9" fontId="0" fillId="0" borderId="0" xfId="0" applyNumberFormat="1"/>
    <xf numFmtId="0" fontId="2" fillId="3" borderId="0" xfId="0" applyFont="1" applyFill="1" applyAlignment="1">
      <alignment horizontal="center"/>
    </xf>
    <xf numFmtId="0" fontId="3" fillId="3" borderId="0" xfId="0" applyFont="1" applyFill="1" applyAlignment="1">
      <alignment horizontal="center"/>
    </xf>
    <xf numFmtId="0" fontId="0" fillId="4" borderId="0" xfId="0" applyFill="1" applyAlignment="1">
      <alignment horizontal="center"/>
    </xf>
    <xf numFmtId="9" fontId="0" fillId="4" borderId="0" xfId="1" applyFont="1" applyFill="1" applyAlignment="1">
      <alignment horizontal="center"/>
    </xf>
  </cellXfs>
  <cellStyles count="3">
    <cellStyle name="Hyperlink" xfId="2" builtinId="8"/>
    <cellStyle name="Normal" xfId="0" builtinId="0"/>
    <cellStyle name="Percent" xfId="1" builtinId="5"/>
  </cellStyles>
  <dxfs count="44">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
      <numFmt numFmtId="169" formatCode="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8.739275577718215E-4"/>
          <c:y val="5.0053771441888939E-2"/>
          <c:w val="0.97000025302252857"/>
          <c:h val="0.89989358767193472"/>
        </c:manualLayout>
      </c:layout>
      <c:barChart>
        <c:barDir val="bar"/>
        <c:grouping val="clustered"/>
        <c:varyColors val="0"/>
        <c:ser>
          <c:idx val="0"/>
          <c:order val="0"/>
          <c:tx>
            <c:strRef>
              <c:f>' Pivot Report'!$C$37</c:f>
              <c:strCache>
                <c:ptCount val="1"/>
                <c:pt idx="0">
                  <c:v>Count of Patient Admission Flag</c:v>
                </c:pt>
              </c:strCache>
            </c:strRef>
          </c:tx>
          <c:spPr>
            <a:solidFill>
              <a:schemeClr val="accent1"/>
            </a:solidFill>
            <a:ln>
              <a:noFill/>
            </a:ln>
            <a:effectLst/>
          </c:spPr>
          <c:invertIfNegative val="0"/>
          <c:cat>
            <c:strRef>
              <c:f>' Pivot Report'!$B$38:$B$40</c:f>
              <c:strCache>
                <c:ptCount val="2"/>
                <c:pt idx="0">
                  <c:v>Admitted</c:v>
                </c:pt>
                <c:pt idx="1">
                  <c:v>Not Admitted</c:v>
                </c:pt>
              </c:strCache>
            </c:strRef>
          </c:cat>
          <c:val>
            <c:numRef>
              <c:f>' Pivot Report'!$C$38:$C$40</c:f>
              <c:numCache>
                <c:formatCode>General</c:formatCode>
                <c:ptCount val="2"/>
                <c:pt idx="0">
                  <c:v>269</c:v>
                </c:pt>
                <c:pt idx="1">
                  <c:v>244</c:v>
                </c:pt>
              </c:numCache>
            </c:numRef>
          </c:val>
          <c:extLst>
            <c:ext xmlns:c16="http://schemas.microsoft.com/office/drawing/2014/chart" uri="{C3380CC4-5D6E-409C-BE32-E72D297353CC}">
              <c16:uniqueId val="{00000000-E0CD-4AA1-9E22-6D638C5453AC}"/>
            </c:ext>
          </c:extLst>
        </c:ser>
        <c:ser>
          <c:idx val="1"/>
          <c:order val="1"/>
          <c:tx>
            <c:strRef>
              <c:f>' Pivot Report'!$D$37</c:f>
              <c:strCache>
                <c:ptCount val="1"/>
                <c:pt idx="0">
                  <c:v>Count of Patient Admission Flag2</c:v>
                </c:pt>
              </c:strCache>
            </c:strRef>
          </c:tx>
          <c:spPr>
            <a:solidFill>
              <a:schemeClr val="accent2"/>
            </a:solidFill>
            <a:ln>
              <a:noFill/>
            </a:ln>
            <a:effectLst/>
          </c:spPr>
          <c:invertIfNegative val="0"/>
          <c:cat>
            <c:strRef>
              <c:f>' Pivot Report'!$B$38:$B$40</c:f>
              <c:strCache>
                <c:ptCount val="2"/>
                <c:pt idx="0">
                  <c:v>Admitted</c:v>
                </c:pt>
                <c:pt idx="1">
                  <c:v>Not Admitted</c:v>
                </c:pt>
              </c:strCache>
            </c:strRef>
          </c:cat>
          <c:val>
            <c:numRef>
              <c:f>' Pivot Report'!$D$38:$D$40</c:f>
              <c:numCache>
                <c:formatCode>0.00%</c:formatCode>
                <c:ptCount val="2"/>
                <c:pt idx="0">
                  <c:v>0.52436647173489281</c:v>
                </c:pt>
                <c:pt idx="1">
                  <c:v>0.47563352826510719</c:v>
                </c:pt>
              </c:numCache>
            </c:numRef>
          </c:val>
          <c:extLst>
            <c:ext xmlns:c16="http://schemas.microsoft.com/office/drawing/2014/chart" uri="{C3380CC4-5D6E-409C-BE32-E72D297353CC}">
              <c16:uniqueId val="{00000004-E0CD-4AA1-9E22-6D638C5453AC}"/>
            </c:ext>
          </c:extLst>
        </c:ser>
        <c:dLbls>
          <c:showLegendKey val="0"/>
          <c:showVal val="0"/>
          <c:showCatName val="0"/>
          <c:showSerName val="0"/>
          <c:showPercent val="0"/>
          <c:showBubbleSize val="0"/>
        </c:dLbls>
        <c:gapWidth val="52"/>
        <c:axId val="1944515808"/>
        <c:axId val="1944513888"/>
      </c:barChart>
      <c:catAx>
        <c:axId val="1944515808"/>
        <c:scaling>
          <c:orientation val="minMax"/>
        </c:scaling>
        <c:delete val="1"/>
        <c:axPos val="l"/>
        <c:numFmt formatCode="General" sourceLinked="1"/>
        <c:majorTickMark val="none"/>
        <c:minorTickMark val="none"/>
        <c:tickLblPos val="nextTo"/>
        <c:crossAx val="1944513888"/>
        <c:crosses val="autoZero"/>
        <c:auto val="1"/>
        <c:lblAlgn val="ctr"/>
        <c:lblOffset val="100"/>
        <c:noMultiLvlLbl val="0"/>
      </c:catAx>
      <c:valAx>
        <c:axId val="1944513888"/>
        <c:scaling>
          <c:orientation val="minMax"/>
        </c:scaling>
        <c:delete val="1"/>
        <c:axPos val="b"/>
        <c:numFmt formatCode="General" sourceLinked="1"/>
        <c:majorTickMark val="none"/>
        <c:minorTickMark val="none"/>
        <c:tickLblPos val="nextTo"/>
        <c:crossAx val="194451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25173050527792E-2"/>
          <c:y val="0.19236150869349344"/>
          <c:w val="0.89186131765263499"/>
          <c:h val="0.80763849130650656"/>
        </c:manualLayout>
      </c:layout>
      <c:areaChart>
        <c:grouping val="standard"/>
        <c:varyColors val="0"/>
        <c:ser>
          <c:idx val="0"/>
          <c:order val="0"/>
          <c:tx>
            <c:strRef>
              <c:f>' Pivot Report'!$F$3</c:f>
              <c:strCache>
                <c:ptCount val="1"/>
                <c:pt idx="0">
                  <c:v>Total</c:v>
                </c:pt>
              </c:strCache>
            </c:strRef>
          </c:tx>
          <c:spPr>
            <a:solidFill>
              <a:schemeClr val="accent1"/>
            </a:solidFill>
            <a:ln>
              <a:noFill/>
            </a:ln>
            <a:effectLst/>
          </c:spPr>
          <c:cat>
            <c:strRef>
              <c:f>' Pivot Report'!$E$4:$E$35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 Pivot Report'!$F$4:$F$35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1B1C-4215-B234-7528F0A24155}"/>
            </c:ext>
          </c:extLst>
        </c:ser>
        <c:dLbls>
          <c:showLegendKey val="0"/>
          <c:showVal val="0"/>
          <c:showCatName val="0"/>
          <c:showSerName val="0"/>
          <c:showPercent val="0"/>
          <c:showBubbleSize val="0"/>
        </c:dLbls>
        <c:axId val="538486848"/>
        <c:axId val="538484928"/>
      </c:areaChart>
      <c:catAx>
        <c:axId val="538486848"/>
        <c:scaling>
          <c:orientation val="minMax"/>
        </c:scaling>
        <c:delete val="1"/>
        <c:axPos val="b"/>
        <c:numFmt formatCode="General" sourceLinked="1"/>
        <c:majorTickMark val="out"/>
        <c:minorTickMark val="none"/>
        <c:tickLblPos val="nextTo"/>
        <c:crossAx val="538484928"/>
        <c:crosses val="autoZero"/>
        <c:auto val="1"/>
        <c:lblAlgn val="ctr"/>
        <c:lblOffset val="100"/>
        <c:noMultiLvlLbl val="0"/>
      </c:catAx>
      <c:valAx>
        <c:axId val="538484928"/>
        <c:scaling>
          <c:orientation val="minMax"/>
        </c:scaling>
        <c:delete val="1"/>
        <c:axPos val="l"/>
        <c:numFmt formatCode="General" sourceLinked="1"/>
        <c:majorTickMark val="none"/>
        <c:minorTickMark val="none"/>
        <c:tickLblPos val="nextTo"/>
        <c:crossAx val="5384868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368293697129E-2"/>
          <c:y val="0.21824916304580097"/>
          <c:w val="0.93888888888888888"/>
          <c:h val="0.76851851851851849"/>
        </c:manualLayout>
      </c:layout>
      <c:areaChart>
        <c:grouping val="standard"/>
        <c:varyColors val="0"/>
        <c:ser>
          <c:idx val="0"/>
          <c:order val="0"/>
          <c:tx>
            <c:strRef>
              <c:f>' Pivot Report'!$J$3</c:f>
              <c:strCache>
                <c:ptCount val="1"/>
                <c:pt idx="0">
                  <c:v>Total</c:v>
                </c:pt>
              </c:strCache>
            </c:strRef>
          </c:tx>
          <c:spPr>
            <a:solidFill>
              <a:schemeClr val="accent1"/>
            </a:solidFill>
            <a:ln>
              <a:noFill/>
            </a:ln>
            <a:effectLst/>
          </c:spPr>
          <c:cat>
            <c:strRef>
              <c:f>' 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 Pivot Report'!$J$4:$J$35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07AD-4986-9EE9-7D179416D258}"/>
            </c:ext>
          </c:extLst>
        </c:ser>
        <c:dLbls>
          <c:showLegendKey val="0"/>
          <c:showVal val="0"/>
          <c:showCatName val="0"/>
          <c:showSerName val="0"/>
          <c:showPercent val="0"/>
          <c:showBubbleSize val="0"/>
        </c:dLbls>
        <c:axId val="531262016"/>
        <c:axId val="531262496"/>
      </c:areaChart>
      <c:catAx>
        <c:axId val="531262016"/>
        <c:scaling>
          <c:orientation val="minMax"/>
        </c:scaling>
        <c:delete val="1"/>
        <c:axPos val="b"/>
        <c:numFmt formatCode="General" sourceLinked="1"/>
        <c:majorTickMark val="out"/>
        <c:minorTickMark val="none"/>
        <c:tickLblPos val="nextTo"/>
        <c:crossAx val="531262496"/>
        <c:crosses val="autoZero"/>
        <c:auto val="1"/>
        <c:lblAlgn val="ctr"/>
        <c:lblOffset val="100"/>
        <c:noMultiLvlLbl val="0"/>
      </c:catAx>
      <c:valAx>
        <c:axId val="531262496"/>
        <c:scaling>
          <c:orientation val="minMax"/>
        </c:scaling>
        <c:delete val="1"/>
        <c:axPos val="l"/>
        <c:numFmt formatCode="0.00" sourceLinked="1"/>
        <c:majorTickMark val="none"/>
        <c:minorTickMark val="none"/>
        <c:tickLblPos val="nextTo"/>
        <c:crossAx val="5312620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3148148148148148"/>
          <c:w val="0.93888888888888888"/>
          <c:h val="0.71759259259259256"/>
        </c:manualLayout>
      </c:layout>
      <c:areaChart>
        <c:grouping val="standard"/>
        <c:varyColors val="0"/>
        <c:ser>
          <c:idx val="0"/>
          <c:order val="0"/>
          <c:tx>
            <c:strRef>
              <c:f>' Pivot Report'!$N$3</c:f>
              <c:strCache>
                <c:ptCount val="1"/>
                <c:pt idx="0">
                  <c:v>Total</c:v>
                </c:pt>
              </c:strCache>
            </c:strRef>
          </c:tx>
          <c:spPr>
            <a:solidFill>
              <a:schemeClr val="accent1"/>
            </a:solidFill>
            <a:ln>
              <a:noFill/>
            </a:ln>
            <a:effectLst/>
          </c:spPr>
          <c:cat>
            <c:strRef>
              <c:f>' Pivot Report'!$M$4:$M$35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 Pivot Report'!$N$4:$N$35</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9645-43F0-BDB4-342C64399DEC}"/>
            </c:ext>
          </c:extLst>
        </c:ser>
        <c:dLbls>
          <c:showLegendKey val="0"/>
          <c:showVal val="0"/>
          <c:showCatName val="0"/>
          <c:showSerName val="0"/>
          <c:showPercent val="0"/>
          <c:showBubbleSize val="0"/>
        </c:dLbls>
        <c:axId val="543418752"/>
        <c:axId val="543415392"/>
      </c:areaChart>
      <c:catAx>
        <c:axId val="543418752"/>
        <c:scaling>
          <c:orientation val="minMax"/>
        </c:scaling>
        <c:delete val="1"/>
        <c:axPos val="b"/>
        <c:numFmt formatCode="General" sourceLinked="1"/>
        <c:majorTickMark val="out"/>
        <c:minorTickMark val="none"/>
        <c:tickLblPos val="nextTo"/>
        <c:crossAx val="543415392"/>
        <c:crosses val="autoZero"/>
        <c:auto val="1"/>
        <c:lblAlgn val="ctr"/>
        <c:lblOffset val="100"/>
        <c:noMultiLvlLbl val="0"/>
      </c:catAx>
      <c:valAx>
        <c:axId val="543415392"/>
        <c:scaling>
          <c:orientation val="minMax"/>
        </c:scaling>
        <c:delete val="1"/>
        <c:axPos val="l"/>
        <c:numFmt formatCode="0.0" sourceLinked="1"/>
        <c:majorTickMark val="none"/>
        <c:minorTickMark val="none"/>
        <c:tickLblPos val="nextTo"/>
        <c:crossAx val="5434187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Report'!$C$52</c:f>
              <c:strCache>
                <c:ptCount val="1"/>
                <c:pt idx="0">
                  <c:v>Total</c:v>
                </c:pt>
              </c:strCache>
            </c:strRef>
          </c:tx>
          <c:spPr>
            <a:solidFill>
              <a:schemeClr val="accent1"/>
            </a:solidFill>
            <a:ln>
              <a:noFill/>
            </a:ln>
            <a:effectLst/>
          </c:spPr>
          <c:invertIfNegative val="0"/>
          <c:cat>
            <c:strRef>
              <c:f>' Pivot Report'!$B$53:$B$61</c:f>
              <c:strCache>
                <c:ptCount val="8"/>
                <c:pt idx="0">
                  <c:v>0-09</c:v>
                </c:pt>
                <c:pt idx="1">
                  <c:v>10-19</c:v>
                </c:pt>
                <c:pt idx="2">
                  <c:v>20-29</c:v>
                </c:pt>
                <c:pt idx="3">
                  <c:v>30-39</c:v>
                </c:pt>
                <c:pt idx="4">
                  <c:v>40-49</c:v>
                </c:pt>
                <c:pt idx="5">
                  <c:v>50-59</c:v>
                </c:pt>
                <c:pt idx="6">
                  <c:v>60-69</c:v>
                </c:pt>
                <c:pt idx="7">
                  <c:v>70-79</c:v>
                </c:pt>
              </c:strCache>
            </c:strRef>
          </c:cat>
          <c:val>
            <c:numRef>
              <c:f>' Pivot Report'!$C$53:$C$61</c:f>
              <c:numCache>
                <c:formatCode>General</c:formatCode>
                <c:ptCount val="8"/>
                <c:pt idx="0">
                  <c:v>72</c:v>
                </c:pt>
                <c:pt idx="1">
                  <c:v>68</c:v>
                </c:pt>
                <c:pt idx="2">
                  <c:v>58</c:v>
                </c:pt>
                <c:pt idx="3">
                  <c:v>64</c:v>
                </c:pt>
                <c:pt idx="4">
                  <c:v>58</c:v>
                </c:pt>
                <c:pt idx="5">
                  <c:v>68</c:v>
                </c:pt>
                <c:pt idx="6">
                  <c:v>68</c:v>
                </c:pt>
                <c:pt idx="7">
                  <c:v>57</c:v>
                </c:pt>
              </c:numCache>
            </c:numRef>
          </c:val>
          <c:extLst>
            <c:ext xmlns:c16="http://schemas.microsoft.com/office/drawing/2014/chart" uri="{C3380CC4-5D6E-409C-BE32-E72D297353CC}">
              <c16:uniqueId val="{00000000-252B-4000-AC31-B644BF5DD644}"/>
            </c:ext>
          </c:extLst>
        </c:ser>
        <c:dLbls>
          <c:showLegendKey val="0"/>
          <c:showVal val="0"/>
          <c:showCatName val="0"/>
          <c:showSerName val="0"/>
          <c:showPercent val="0"/>
          <c:showBubbleSize val="0"/>
        </c:dLbls>
        <c:gapWidth val="219"/>
        <c:overlap val="-27"/>
        <c:axId val="1944517248"/>
        <c:axId val="1944505248"/>
      </c:barChart>
      <c:catAx>
        <c:axId val="194451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4505248"/>
        <c:crosses val="autoZero"/>
        <c:auto val="1"/>
        <c:lblAlgn val="ctr"/>
        <c:lblOffset val="100"/>
        <c:noMultiLvlLbl val="0"/>
      </c:catAx>
      <c:valAx>
        <c:axId val="1944505248"/>
        <c:scaling>
          <c:orientation val="minMax"/>
        </c:scaling>
        <c:delete val="1"/>
        <c:axPos val="l"/>
        <c:numFmt formatCode="General" sourceLinked="1"/>
        <c:majorTickMark val="none"/>
        <c:minorTickMark val="none"/>
        <c:tickLblPos val="nextTo"/>
        <c:crossAx val="194451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Report!PivotTable17</c:name>
    <c:fmtId val="1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7794587232789481"/>
          <c:y val="7.0468520317558334E-2"/>
          <c:w val="0.39462910305606941"/>
          <c:h val="0.60730268021264977"/>
        </c:manualLayout>
      </c:layout>
      <c:pieChart>
        <c:varyColors val="1"/>
        <c:ser>
          <c:idx val="0"/>
          <c:order val="0"/>
          <c:tx>
            <c:strRef>
              <c:f>' Pivot Report'!$C$64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90-4986-BD5D-2BF599F3BDF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A90-4986-BD5D-2BF599F3BD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Pivot Report'!$B$65:$B$67</c:f>
              <c:strCache>
                <c:ptCount val="2"/>
                <c:pt idx="0">
                  <c:v>Delay</c:v>
                </c:pt>
                <c:pt idx="1">
                  <c:v>On-Time</c:v>
                </c:pt>
              </c:strCache>
            </c:strRef>
          </c:cat>
          <c:val>
            <c:numRef>
              <c:f>' Pivot Report'!$C$65:$C$67</c:f>
              <c:numCache>
                <c:formatCode>General</c:formatCode>
                <c:ptCount val="2"/>
                <c:pt idx="0">
                  <c:v>316</c:v>
                </c:pt>
                <c:pt idx="1">
                  <c:v>197</c:v>
                </c:pt>
              </c:numCache>
            </c:numRef>
          </c:val>
          <c:extLst>
            <c:ext xmlns:c16="http://schemas.microsoft.com/office/drawing/2014/chart" uri="{C3380CC4-5D6E-409C-BE32-E72D297353CC}">
              <c16:uniqueId val="{00000004-FA90-4986-BD5D-2BF599F3BDF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6245893493084504"/>
          <c:y val="0.82426895205297157"/>
          <c:w val="0.69627860751456261"/>
          <c:h val="9.0902911328947039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Report!PivotTable18</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633644636594666"/>
          <c:y val="3.3589929394982142E-2"/>
          <c:w val="0.54128933392975631"/>
          <c:h val="0.79790802757427559"/>
        </c:manualLayout>
      </c:layout>
      <c:doughnutChart>
        <c:varyColors val="1"/>
        <c:ser>
          <c:idx val="0"/>
          <c:order val="0"/>
          <c:tx>
            <c:strRef>
              <c:f>' Pivot Report'!$C$71</c:f>
              <c:strCache>
                <c:ptCount val="1"/>
                <c:pt idx="0">
                  <c:v>Total</c:v>
                </c:pt>
              </c:strCache>
            </c:strRef>
          </c:tx>
          <c:dPt>
            <c:idx val="0"/>
            <c:bubble3D val="0"/>
            <c:explosion val="1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430-4329-97F7-99D17A75F0D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430-4329-97F7-99D17A75F0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Report'!$B$72:$B$74</c:f>
              <c:strCache>
                <c:ptCount val="2"/>
                <c:pt idx="0">
                  <c:v>Female</c:v>
                </c:pt>
                <c:pt idx="1">
                  <c:v>Male</c:v>
                </c:pt>
              </c:strCache>
            </c:strRef>
          </c:cat>
          <c:val>
            <c:numRef>
              <c:f>' Pivot Report'!$C$72:$C$74</c:f>
              <c:numCache>
                <c:formatCode>General</c:formatCode>
                <c:ptCount val="2"/>
                <c:pt idx="0">
                  <c:v>241</c:v>
                </c:pt>
                <c:pt idx="1">
                  <c:v>272</c:v>
                </c:pt>
              </c:numCache>
            </c:numRef>
          </c:val>
          <c:extLst>
            <c:ext xmlns:c16="http://schemas.microsoft.com/office/drawing/2014/chart" uri="{C3380CC4-5D6E-409C-BE32-E72D297353CC}">
              <c16:uniqueId val="{00000004-B430-4329-97F7-99D17A75F0DC}"/>
            </c:ext>
          </c:extLst>
        </c:ser>
        <c:dLbls>
          <c:showLegendKey val="0"/>
          <c:showVal val="0"/>
          <c:showCatName val="0"/>
          <c:showSerName val="0"/>
          <c:showPercent val="1"/>
          <c:showBubbleSize val="0"/>
          <c:showLeaderLines val="1"/>
        </c:dLbls>
        <c:firstSliceAng val="0"/>
        <c:holeSize val="30"/>
      </c:doughnutChart>
      <c:spPr>
        <a:noFill/>
        <a:ln>
          <a:noFill/>
        </a:ln>
        <a:effectLst/>
      </c:spPr>
    </c:plotArea>
    <c:legend>
      <c:legendPos val="r"/>
      <c:layout>
        <c:manualLayout>
          <c:xMode val="edge"/>
          <c:yMode val="edge"/>
          <c:x val="0.1136926935959516"/>
          <c:y val="0.85775649805181753"/>
          <c:w val="0.6313519428957638"/>
          <c:h val="0.14214182465219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25400">
              <a:schemeClr val="tx2">
                <a:lumMod val="25000"/>
                <a:lumOff val="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 Report'!$C$77</c:f>
              <c:strCache>
                <c:ptCount val="1"/>
                <c:pt idx="0">
                  <c:v>Total</c:v>
                </c:pt>
              </c:strCache>
            </c:strRef>
          </c:tx>
          <c:spPr>
            <a:solidFill>
              <a:schemeClr val="accent1"/>
            </a:solidFill>
            <a:ln>
              <a:noFill/>
            </a:ln>
            <a:effectLst>
              <a:glow rad="25400">
                <a:schemeClr val="tx2">
                  <a:lumMod val="25000"/>
                  <a:lumOff val="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Report'!$B$78:$B$86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 Pivot Report'!$C$78:$C$86</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9114-4E3D-8E4E-C05D29622A71}"/>
            </c:ext>
          </c:extLst>
        </c:ser>
        <c:dLbls>
          <c:showLegendKey val="0"/>
          <c:showVal val="0"/>
          <c:showCatName val="0"/>
          <c:showSerName val="0"/>
          <c:showPercent val="0"/>
          <c:showBubbleSize val="0"/>
        </c:dLbls>
        <c:gapWidth val="182"/>
        <c:axId val="869980336"/>
        <c:axId val="869977936"/>
      </c:barChart>
      <c:catAx>
        <c:axId val="86998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69977936"/>
        <c:crosses val="autoZero"/>
        <c:auto val="1"/>
        <c:lblAlgn val="ctr"/>
        <c:lblOffset val="100"/>
        <c:noMultiLvlLbl val="0"/>
      </c:catAx>
      <c:valAx>
        <c:axId val="869977936"/>
        <c:scaling>
          <c:orientation val="minMax"/>
        </c:scaling>
        <c:delete val="1"/>
        <c:axPos val="b"/>
        <c:numFmt formatCode="General" sourceLinked="1"/>
        <c:majorTickMark val="none"/>
        <c:minorTickMark val="none"/>
        <c:tickLblPos val="nextTo"/>
        <c:crossAx val="86998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 Pivot 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Pivot Report'!$E$4:$E$35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 Pivot Report'!$F$4:$F$35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0376-424D-B125-9991AB04143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62912480"/>
        <c:axId val="862912000"/>
      </c:areaChart>
      <c:catAx>
        <c:axId val="8629124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2912000"/>
        <c:crosses val="autoZero"/>
        <c:auto val="1"/>
        <c:lblAlgn val="ctr"/>
        <c:lblOffset val="100"/>
        <c:noMultiLvlLbl val="0"/>
      </c:catAx>
      <c:valAx>
        <c:axId val="862912000"/>
        <c:scaling>
          <c:orientation val="minMax"/>
        </c:scaling>
        <c:delete val="1"/>
        <c:axPos val="l"/>
        <c:numFmt formatCode="General" sourceLinked="1"/>
        <c:majorTickMark val="out"/>
        <c:minorTickMark val="none"/>
        <c:tickLblPos val="nextTo"/>
        <c:crossAx val="8629124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Report!PivotTable13</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07402216151688E-2"/>
          <c:y val="0.21455938697318008"/>
          <c:w val="0.90984714644503339"/>
          <c:h val="0.64094699369475372"/>
        </c:manualLayout>
      </c:layout>
      <c:areaChart>
        <c:grouping val="standard"/>
        <c:varyColors val="0"/>
        <c:ser>
          <c:idx val="0"/>
          <c:order val="0"/>
          <c:tx>
            <c:strRef>
              <c:f>' 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 Pivot Report'!$J$4:$J$35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E4ED-4CD8-91DF-339538FF3B2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9150368"/>
        <c:axId val="539153728"/>
      </c:areaChart>
      <c:catAx>
        <c:axId val="5391503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9153728"/>
        <c:crosses val="autoZero"/>
        <c:auto val="1"/>
        <c:lblAlgn val="ctr"/>
        <c:lblOffset val="100"/>
        <c:noMultiLvlLbl val="0"/>
      </c:catAx>
      <c:valAx>
        <c:axId val="539153728"/>
        <c:scaling>
          <c:orientation val="minMax"/>
        </c:scaling>
        <c:delete val="1"/>
        <c:axPos val="l"/>
        <c:numFmt formatCode="0.00" sourceLinked="1"/>
        <c:majorTickMark val="out"/>
        <c:minorTickMark val="none"/>
        <c:tickLblPos val="nextTo"/>
        <c:crossAx val="5391503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 Pivot Report!PivotTable14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60796645702306E-2"/>
          <c:y val="0.19814241486068113"/>
          <c:w val="0.95387840670859536"/>
          <c:h val="0.65364991914710346"/>
        </c:manualLayout>
      </c:layout>
      <c:areaChart>
        <c:grouping val="standard"/>
        <c:varyColors val="0"/>
        <c:ser>
          <c:idx val="0"/>
          <c:order val="0"/>
          <c:tx>
            <c:strRef>
              <c:f>' Pivot Report'!$N$3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Pivot Report'!$M$4:$M$35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 Pivot Report'!$N$4:$N$35</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695F-4568-866E-D4262423E7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8493568"/>
        <c:axId val="538491648"/>
      </c:areaChart>
      <c:catAx>
        <c:axId val="5384935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8491648"/>
        <c:crosses val="autoZero"/>
        <c:auto val="1"/>
        <c:lblAlgn val="ctr"/>
        <c:lblOffset val="100"/>
        <c:noMultiLvlLbl val="0"/>
      </c:catAx>
      <c:valAx>
        <c:axId val="538491648"/>
        <c:scaling>
          <c:orientation val="minMax"/>
        </c:scaling>
        <c:delete val="1"/>
        <c:axPos val="l"/>
        <c:numFmt formatCode="0.0" sourceLinked="1"/>
        <c:majorTickMark val="out"/>
        <c:minorTickMark val="none"/>
        <c:tickLblPos val="nextTo"/>
        <c:crossAx val="5384935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chart" Target="../charts/chart8.xml"/><Relationship Id="rId3" Type="http://schemas.openxmlformats.org/officeDocument/2006/relationships/hyperlink" Target="#' Total Patient'!A1"/><Relationship Id="rId7" Type="http://schemas.openxmlformats.org/officeDocument/2006/relationships/chart" Target="../charts/chart4.xml"/><Relationship Id="rId12" Type="http://schemas.openxmlformats.org/officeDocument/2006/relationships/image" Target="../media/image6.png"/><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 AVG Wait Time'!A1"/><Relationship Id="rId6" Type="http://schemas.openxmlformats.org/officeDocument/2006/relationships/hyperlink" Target="#' AVG Satisfaction Score'!A1"/><Relationship Id="rId11" Type="http://schemas.openxmlformats.org/officeDocument/2006/relationships/image" Target="../media/image5.svg"/><Relationship Id="rId5" Type="http://schemas.openxmlformats.org/officeDocument/2006/relationships/chart" Target="../charts/chart3.xml"/><Relationship Id="rId1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image" Target="../media/image3.svg"/><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 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 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0.png"/><Relationship Id="rId1" Type="http://schemas.openxmlformats.org/officeDocument/2006/relationships/hyperlink" Target="#' 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6600</xdr:colOff>
      <xdr:row>44</xdr:row>
      <xdr:rowOff>1276</xdr:rowOff>
    </xdr:from>
    <xdr:to>
      <xdr:col>4</xdr:col>
      <xdr:colOff>1190626</xdr:colOff>
      <xdr:row>46</xdr:row>
      <xdr:rowOff>1</xdr:rowOff>
    </xdr:to>
    <xdr:graphicFrame macro="">
      <xdr:nvGraphicFramePr>
        <xdr:cNvPr id="9" name="Chart 8">
          <a:extLst>
            <a:ext uri="{FF2B5EF4-FFF2-40B4-BE49-F238E27FC236}">
              <a16:creationId xmlns:a16="http://schemas.microsoft.com/office/drawing/2014/main" id="{BA50996F-F14B-E31F-E7C5-D8D523CEC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104776</xdr:colOff>
      <xdr:row>0</xdr:row>
      <xdr:rowOff>95252</xdr:rowOff>
    </xdr:from>
    <xdr:to>
      <xdr:col>8</xdr:col>
      <xdr:colOff>437932</xdr:colOff>
      <xdr:row>4</xdr:row>
      <xdr:rowOff>165231</xdr:rowOff>
    </xdr:to>
    <xdr:sp macro="" textlink="">
      <xdr:nvSpPr>
        <xdr:cNvPr id="2" name="Rectangle: Rounded Corners 1">
          <a:extLst>
            <a:ext uri="{FF2B5EF4-FFF2-40B4-BE49-F238E27FC236}">
              <a16:creationId xmlns:a16="http://schemas.microsoft.com/office/drawing/2014/main" id="{3E44A58C-F261-0698-2C33-60B6F2680066}"/>
            </a:ext>
          </a:extLst>
        </xdr:cNvPr>
        <xdr:cNvSpPr/>
      </xdr:nvSpPr>
      <xdr:spPr>
        <a:xfrm>
          <a:off x="104776" y="95252"/>
          <a:ext cx="5237984" cy="8144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800" b="1" i="1">
              <a:solidFill>
                <a:schemeClr val="tx1"/>
              </a:solidFill>
            </a:rPr>
            <a:t>Hospital Emergency Room Dashboard</a:t>
          </a:r>
        </a:p>
        <a:p>
          <a:pPr algn="ctr"/>
          <a:r>
            <a:rPr lang="en-GB" sz="1800" b="1" i="1">
              <a:solidFill>
                <a:schemeClr val="tx1"/>
              </a:solidFill>
            </a:rPr>
            <a:t>                                                </a:t>
          </a:r>
          <a:r>
            <a:rPr lang="en-GB" sz="1600" b="1" i="1">
              <a:solidFill>
                <a:schemeClr val="tx1"/>
              </a:solidFill>
            </a:rPr>
            <a:t>Monthly Report</a:t>
          </a:r>
        </a:p>
      </xdr:txBody>
    </xdr:sp>
    <xdr:clientData/>
  </xdr:twoCellAnchor>
  <xdr:twoCellAnchor>
    <xdr:from>
      <xdr:col>0</xdr:col>
      <xdr:colOff>48597</xdr:colOff>
      <xdr:row>5</xdr:row>
      <xdr:rowOff>38877</xdr:rowOff>
    </xdr:from>
    <xdr:to>
      <xdr:col>1</xdr:col>
      <xdr:colOff>514350</xdr:colOff>
      <xdr:row>23</xdr:row>
      <xdr:rowOff>123824</xdr:rowOff>
    </xdr:to>
    <xdr:sp macro="" textlink="">
      <xdr:nvSpPr>
        <xdr:cNvPr id="3" name="Rectangle: Rounded Corners 2">
          <a:extLst>
            <a:ext uri="{FF2B5EF4-FFF2-40B4-BE49-F238E27FC236}">
              <a16:creationId xmlns:a16="http://schemas.microsoft.com/office/drawing/2014/main" id="{A9DC1580-035C-47C5-8738-D1C0E5D163DD}"/>
            </a:ext>
          </a:extLst>
        </xdr:cNvPr>
        <xdr:cNvSpPr/>
      </xdr:nvSpPr>
      <xdr:spPr>
        <a:xfrm>
          <a:off x="48597" y="1010816"/>
          <a:ext cx="1078074" cy="358392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561975</xdr:colOff>
      <xdr:row>5</xdr:row>
      <xdr:rowOff>153276</xdr:rowOff>
    </xdr:from>
    <xdr:to>
      <xdr:col>4</xdr:col>
      <xdr:colOff>457200</xdr:colOff>
      <xdr:row>11</xdr:row>
      <xdr:rowOff>184669</xdr:rowOff>
    </xdr:to>
    <xdr:sp macro="" textlink="' Pivot Report'!B4">
      <xdr:nvSpPr>
        <xdr:cNvPr id="4" name="Rectangle: Rounded Corners 3">
          <a:extLst>
            <a:ext uri="{FF2B5EF4-FFF2-40B4-BE49-F238E27FC236}">
              <a16:creationId xmlns:a16="http://schemas.microsoft.com/office/drawing/2014/main" id="{83FA6FE6-1C51-4868-8BDC-62FE102BC545}"/>
            </a:ext>
          </a:extLst>
        </xdr:cNvPr>
        <xdr:cNvSpPr/>
      </xdr:nvSpPr>
      <xdr:spPr>
        <a:xfrm>
          <a:off x="1175078" y="1083879"/>
          <a:ext cx="1734536" cy="114811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B5CF964-EC90-4267-A4AB-40AFE158E4A8}" type="TxLink">
            <a:rPr lang="en-US" sz="1800" b="1" i="0" u="none" strike="noStrike">
              <a:solidFill>
                <a:srgbClr val="000000"/>
              </a:solidFill>
              <a:latin typeface="Aptos Narrow"/>
            </a:rPr>
            <a:t>513</a:t>
          </a:fld>
          <a:endParaRPr lang="en-US" sz="1800" b="1" i="0" u="none" strike="noStrike">
            <a:solidFill>
              <a:srgbClr val="000000"/>
            </a:solidFill>
            <a:latin typeface="Aptos Narrow"/>
          </a:endParaRPr>
        </a:p>
        <a:p>
          <a:pPr algn="ctr"/>
          <a:r>
            <a:rPr lang="en-US" sz="1800" b="1" i="0" u="none" strike="noStrike">
              <a:solidFill>
                <a:srgbClr val="000000"/>
              </a:solidFill>
              <a:latin typeface="Aptos Narrow"/>
            </a:rPr>
            <a:t>Total Patient</a:t>
          </a:r>
          <a:endParaRPr lang="en-GB" sz="1800" b="1"/>
        </a:p>
      </xdr:txBody>
    </xdr:sp>
    <xdr:clientData/>
  </xdr:twoCellAnchor>
  <xdr:twoCellAnchor>
    <xdr:from>
      <xdr:col>4</xdr:col>
      <xdr:colOff>503661</xdr:colOff>
      <xdr:row>5</xdr:row>
      <xdr:rowOff>161924</xdr:rowOff>
    </xdr:from>
    <xdr:to>
      <xdr:col>7</xdr:col>
      <xdr:colOff>398886</xdr:colOff>
      <xdr:row>11</xdr:row>
      <xdr:rowOff>155511</xdr:rowOff>
    </xdr:to>
    <xdr:sp macro="" textlink="' Pivot Report'!B9">
      <xdr:nvSpPr>
        <xdr:cNvPr id="5" name="Rectangle: Rounded Corners 4">
          <a:hlinkClick xmlns:r="http://schemas.openxmlformats.org/officeDocument/2006/relationships" r:id="rId1"/>
          <a:extLst>
            <a:ext uri="{FF2B5EF4-FFF2-40B4-BE49-F238E27FC236}">
              <a16:creationId xmlns:a16="http://schemas.microsoft.com/office/drawing/2014/main" id="{4DB1C144-BCD7-4225-9266-BE1B73F04AB8}"/>
            </a:ext>
          </a:extLst>
        </xdr:cNvPr>
        <xdr:cNvSpPr/>
      </xdr:nvSpPr>
      <xdr:spPr>
        <a:xfrm>
          <a:off x="2952947" y="1133863"/>
          <a:ext cx="1732189" cy="11599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AE58101-4F0A-4455-AEF9-73DCED364FCB}" type="TxLink">
            <a:rPr lang="en-US" sz="1800" b="1" i="0" u="none" strike="noStrike">
              <a:solidFill>
                <a:srgbClr val="000000"/>
              </a:solidFill>
              <a:latin typeface="Aptos Narrow"/>
            </a:rPr>
            <a:t>36.32</a:t>
          </a:fld>
          <a:endParaRPr lang="en-US" sz="1800" b="1" i="0" u="none" strike="noStrike">
            <a:solidFill>
              <a:srgbClr val="000000"/>
            </a:solidFill>
            <a:latin typeface="Aptos Narrow"/>
          </a:endParaRPr>
        </a:p>
        <a:p>
          <a:pPr algn="ctr"/>
          <a:r>
            <a:rPr lang="en-US" sz="1800" b="1" i="0" u="none" strike="noStrike">
              <a:solidFill>
                <a:srgbClr val="000000"/>
              </a:solidFill>
              <a:latin typeface="Aptos Narrow"/>
            </a:rPr>
            <a:t>AVG</a:t>
          </a:r>
          <a:r>
            <a:rPr lang="en-US" sz="1800" b="1" i="0" u="none" strike="noStrike" baseline="0">
              <a:solidFill>
                <a:srgbClr val="000000"/>
              </a:solidFill>
              <a:latin typeface="Aptos Narrow"/>
            </a:rPr>
            <a:t> Wait Time</a:t>
          </a:r>
          <a:endParaRPr lang="en-GB" sz="1800" b="1"/>
        </a:p>
      </xdr:txBody>
    </xdr:sp>
    <xdr:clientData/>
  </xdr:twoCellAnchor>
  <xdr:twoCellAnchor>
    <xdr:from>
      <xdr:col>7</xdr:col>
      <xdr:colOff>447091</xdr:colOff>
      <xdr:row>5</xdr:row>
      <xdr:rowOff>171449</xdr:rowOff>
    </xdr:from>
    <xdr:to>
      <xdr:col>11</xdr:col>
      <xdr:colOff>136070</xdr:colOff>
      <xdr:row>11</xdr:row>
      <xdr:rowOff>145791</xdr:rowOff>
    </xdr:to>
    <xdr:sp macro="" textlink="' Pivot Report'!B15">
      <xdr:nvSpPr>
        <xdr:cNvPr id="6" name="Rectangle: Rounded Corners 5">
          <a:extLst>
            <a:ext uri="{FF2B5EF4-FFF2-40B4-BE49-F238E27FC236}">
              <a16:creationId xmlns:a16="http://schemas.microsoft.com/office/drawing/2014/main" id="{E789B419-9E5D-48D5-A200-13F553094B55}"/>
            </a:ext>
          </a:extLst>
        </xdr:cNvPr>
        <xdr:cNvSpPr/>
      </xdr:nvSpPr>
      <xdr:spPr>
        <a:xfrm>
          <a:off x="4733341" y="1143388"/>
          <a:ext cx="2138265" cy="114066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373C8F3-CB80-4EB8-83D4-0D673FA23FB1}" type="TxLink">
            <a:rPr lang="en-US" sz="1800" b="1" i="0" u="none" strike="noStrike">
              <a:solidFill>
                <a:srgbClr val="000000"/>
              </a:solidFill>
              <a:latin typeface="Aptos Narrow"/>
            </a:rPr>
            <a:t>4.96</a:t>
          </a:fld>
          <a:endParaRPr lang="en-US" sz="1800" b="1" i="0" u="none" strike="noStrike">
            <a:solidFill>
              <a:srgbClr val="000000"/>
            </a:solidFill>
            <a:latin typeface="Aptos Narrow"/>
          </a:endParaRPr>
        </a:p>
        <a:p>
          <a:pPr algn="ctr"/>
          <a:r>
            <a:rPr lang="en-US" sz="1800" b="1" i="0" u="none" strike="noStrike">
              <a:solidFill>
                <a:srgbClr val="000000"/>
              </a:solidFill>
              <a:latin typeface="Aptos Narrow"/>
            </a:rPr>
            <a:t>AVG</a:t>
          </a:r>
          <a:r>
            <a:rPr lang="en-US" sz="1800" b="1" i="0" u="none" strike="noStrike" baseline="0">
              <a:solidFill>
                <a:srgbClr val="000000"/>
              </a:solidFill>
              <a:latin typeface="Aptos Narrow"/>
            </a:rPr>
            <a:t> Statisfaction </a:t>
          </a:r>
          <a:endParaRPr lang="en-GB" sz="1800" b="1"/>
        </a:p>
      </xdr:txBody>
    </xdr:sp>
    <xdr:clientData/>
  </xdr:twoCellAnchor>
  <xdr:twoCellAnchor>
    <xdr:from>
      <xdr:col>11</xdr:col>
      <xdr:colOff>267903</xdr:colOff>
      <xdr:row>0</xdr:row>
      <xdr:rowOff>74377</xdr:rowOff>
    </xdr:from>
    <xdr:to>
      <xdr:col>15</xdr:col>
      <xdr:colOff>158074</xdr:colOff>
      <xdr:row>9</xdr:row>
      <xdr:rowOff>8478</xdr:rowOff>
    </xdr:to>
    <xdr:sp macro="" textlink="">
      <xdr:nvSpPr>
        <xdr:cNvPr id="7" name="Rectangle: Rounded Corners 6">
          <a:extLst>
            <a:ext uri="{FF2B5EF4-FFF2-40B4-BE49-F238E27FC236}">
              <a16:creationId xmlns:a16="http://schemas.microsoft.com/office/drawing/2014/main" id="{2AB1A02D-9654-4FDD-BB73-8B48C5F1F256}"/>
            </a:ext>
          </a:extLst>
        </xdr:cNvPr>
        <xdr:cNvSpPr/>
      </xdr:nvSpPr>
      <xdr:spPr>
        <a:xfrm>
          <a:off x="6955669" y="74377"/>
          <a:ext cx="2322086" cy="16668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solidFill>
                <a:schemeClr val="tx1"/>
              </a:solidFill>
            </a:rPr>
            <a:t>Patient</a:t>
          </a:r>
          <a:r>
            <a:rPr lang="en-GB" sz="800" b="1" baseline="0">
              <a:solidFill>
                <a:schemeClr val="tx1"/>
              </a:solidFill>
            </a:rPr>
            <a:t> Attend Status</a:t>
          </a:r>
          <a:endParaRPr lang="en-GB" sz="800" b="1">
            <a:solidFill>
              <a:schemeClr val="tx1"/>
            </a:solidFill>
          </a:endParaRPr>
        </a:p>
      </xdr:txBody>
    </xdr:sp>
    <xdr:clientData/>
  </xdr:twoCellAnchor>
  <xdr:twoCellAnchor>
    <xdr:from>
      <xdr:col>15</xdr:col>
      <xdr:colOff>314324</xdr:colOff>
      <xdr:row>0</xdr:row>
      <xdr:rowOff>104776</xdr:rowOff>
    </xdr:from>
    <xdr:to>
      <xdr:col>19</xdr:col>
      <xdr:colOff>447675</xdr:colOff>
      <xdr:row>9</xdr:row>
      <xdr:rowOff>45599</xdr:rowOff>
    </xdr:to>
    <xdr:sp macro="" textlink="">
      <xdr:nvSpPr>
        <xdr:cNvPr id="8" name="Rectangle: Rounded Corners 7">
          <a:extLst>
            <a:ext uri="{FF2B5EF4-FFF2-40B4-BE49-F238E27FC236}">
              <a16:creationId xmlns:a16="http://schemas.microsoft.com/office/drawing/2014/main" id="{4DF0BC0B-EA83-4350-B05F-9DFE36410A15}"/>
            </a:ext>
          </a:extLst>
        </xdr:cNvPr>
        <xdr:cNvSpPr/>
      </xdr:nvSpPr>
      <xdr:spPr>
        <a:xfrm>
          <a:off x="9434005" y="104776"/>
          <a:ext cx="2565266" cy="16735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700" b="1">
              <a:solidFill>
                <a:schemeClr val="tx1"/>
              </a:solidFill>
            </a:rPr>
            <a:t>Patient</a:t>
          </a:r>
          <a:r>
            <a:rPr lang="en-GB" sz="700" b="1" baseline="0">
              <a:solidFill>
                <a:schemeClr val="tx1"/>
              </a:solidFill>
            </a:rPr>
            <a:t> by Gender</a:t>
          </a:r>
          <a:endParaRPr lang="en-GB" sz="700" b="1">
            <a:solidFill>
              <a:schemeClr val="tx1"/>
            </a:solidFill>
          </a:endParaRPr>
        </a:p>
      </xdr:txBody>
    </xdr:sp>
    <xdr:clientData/>
  </xdr:twoCellAnchor>
  <xdr:twoCellAnchor>
    <xdr:from>
      <xdr:col>11</xdr:col>
      <xdr:colOff>233265</xdr:colOff>
      <xdr:row>9</xdr:row>
      <xdr:rowOff>138149</xdr:rowOff>
    </xdr:from>
    <xdr:to>
      <xdr:col>19</xdr:col>
      <xdr:colOff>545324</xdr:colOff>
      <xdr:row>23</xdr:row>
      <xdr:rowOff>104773</xdr:rowOff>
    </xdr:to>
    <xdr:sp macro="" textlink="">
      <xdr:nvSpPr>
        <xdr:cNvPr id="9" name="Rectangle: Rounded Corners 8">
          <a:extLst>
            <a:ext uri="{FF2B5EF4-FFF2-40B4-BE49-F238E27FC236}">
              <a16:creationId xmlns:a16="http://schemas.microsoft.com/office/drawing/2014/main" id="{1A9E5FB3-3DB1-49EF-B030-F37B3BC36F42}"/>
            </a:ext>
          </a:extLst>
        </xdr:cNvPr>
        <xdr:cNvSpPr/>
      </xdr:nvSpPr>
      <xdr:spPr>
        <a:xfrm>
          <a:off x="6951662" y="1839561"/>
          <a:ext cx="5198166" cy="261326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rPr>
            <a:t>No.</a:t>
          </a:r>
          <a:r>
            <a:rPr lang="en-GB" sz="1100" b="1" baseline="0">
              <a:solidFill>
                <a:schemeClr val="tx1"/>
              </a:solidFill>
            </a:rPr>
            <a:t> of Patient Department Referal</a:t>
          </a:r>
          <a:endParaRPr lang="en-GB" sz="1100" b="1">
            <a:solidFill>
              <a:schemeClr val="tx1"/>
            </a:solidFill>
          </a:endParaRPr>
        </a:p>
      </xdr:txBody>
    </xdr:sp>
    <xdr:clientData/>
  </xdr:twoCellAnchor>
  <xdr:twoCellAnchor>
    <xdr:from>
      <xdr:col>1</xdr:col>
      <xdr:colOff>590938</xdr:colOff>
      <xdr:row>12</xdr:row>
      <xdr:rowOff>106915</xdr:rowOff>
    </xdr:from>
    <xdr:to>
      <xdr:col>11</xdr:col>
      <xdr:colOff>106913</xdr:colOff>
      <xdr:row>16</xdr:row>
      <xdr:rowOff>113718</xdr:rowOff>
    </xdr:to>
    <xdr:sp macro="" textlink="">
      <xdr:nvSpPr>
        <xdr:cNvPr id="11" name="Rectangle: Rounded Corners 10">
          <a:extLst>
            <a:ext uri="{FF2B5EF4-FFF2-40B4-BE49-F238E27FC236}">
              <a16:creationId xmlns:a16="http://schemas.microsoft.com/office/drawing/2014/main" id="{22026FFB-28BD-4994-AB62-7F2D1D80C7B0}"/>
            </a:ext>
          </a:extLst>
        </xdr:cNvPr>
        <xdr:cNvSpPr/>
      </xdr:nvSpPr>
      <xdr:spPr>
        <a:xfrm>
          <a:off x="1203259" y="2439568"/>
          <a:ext cx="5639190" cy="7843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609061</xdr:colOff>
      <xdr:row>17</xdr:row>
      <xdr:rowOff>26958</xdr:rowOff>
    </xdr:from>
    <xdr:to>
      <xdr:col>11</xdr:col>
      <xdr:colOff>115899</xdr:colOff>
      <xdr:row>23</xdr:row>
      <xdr:rowOff>122208</xdr:rowOff>
    </xdr:to>
    <xdr:sp macro="" textlink="">
      <xdr:nvSpPr>
        <xdr:cNvPr id="12" name="Rectangle: Rounded Corners 11">
          <a:extLst>
            <a:ext uri="{FF2B5EF4-FFF2-40B4-BE49-F238E27FC236}">
              <a16:creationId xmlns:a16="http://schemas.microsoft.com/office/drawing/2014/main" id="{2922302B-1FDE-4190-AF37-6CCE0A6E9D58}"/>
            </a:ext>
          </a:extLst>
        </xdr:cNvPr>
        <xdr:cNvSpPr/>
      </xdr:nvSpPr>
      <xdr:spPr>
        <a:xfrm>
          <a:off x="1220099" y="3234906"/>
          <a:ext cx="5617215" cy="12274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320738</xdr:colOff>
      <xdr:row>1</xdr:row>
      <xdr:rowOff>19437</xdr:rowOff>
    </xdr:from>
    <xdr:to>
      <xdr:col>2</xdr:col>
      <xdr:colOff>349898</xdr:colOff>
      <xdr:row>4</xdr:row>
      <xdr:rowOff>51519</xdr:rowOff>
    </xdr:to>
    <xdr:pic>
      <xdr:nvPicPr>
        <xdr:cNvPr id="14" name="Picture 13">
          <a:extLst>
            <a:ext uri="{FF2B5EF4-FFF2-40B4-BE49-F238E27FC236}">
              <a16:creationId xmlns:a16="http://schemas.microsoft.com/office/drawing/2014/main" id="{5A321ED0-B647-E448-20D5-190AFB77F09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6500" t="16184" r="25373" b="17709"/>
        <a:stretch/>
      </xdr:blipFill>
      <xdr:spPr>
        <a:xfrm>
          <a:off x="320738" y="213825"/>
          <a:ext cx="1253803" cy="615245"/>
        </a:xfrm>
        <a:prstGeom prst="rect">
          <a:avLst/>
        </a:prstGeom>
      </xdr:spPr>
    </xdr:pic>
    <xdr:clientData/>
  </xdr:twoCellAnchor>
  <xdr:twoCellAnchor editAs="oneCell">
    <xdr:from>
      <xdr:col>0</xdr:col>
      <xdr:colOff>194387</xdr:colOff>
      <xdr:row>5</xdr:row>
      <xdr:rowOff>48596</xdr:rowOff>
    </xdr:from>
    <xdr:to>
      <xdr:col>1</xdr:col>
      <xdr:colOff>334541</xdr:colOff>
      <xdr:row>23</xdr:row>
      <xdr:rowOff>121494</xdr:rowOff>
    </xdr:to>
    <mc:AlternateContent xmlns:mc="http://schemas.openxmlformats.org/markup-compatibility/2006">
      <mc:Choice xmlns:a14="http://schemas.microsoft.com/office/drawing/2010/main" Requires="a14">
        <xdr:graphicFrame macro="">
          <xdr:nvGraphicFramePr>
            <xdr:cNvPr id="17" name="Date (Month)">
              <a:extLst>
                <a:ext uri="{FF2B5EF4-FFF2-40B4-BE49-F238E27FC236}">
                  <a16:creationId xmlns:a16="http://schemas.microsoft.com/office/drawing/2014/main" id="{AC910360-868C-4D01-AC0C-D363A991B1A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94387" y="982420"/>
              <a:ext cx="747139" cy="34346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600657</xdr:colOff>
      <xdr:row>9</xdr:row>
      <xdr:rowOff>38877</xdr:rowOff>
    </xdr:from>
    <xdr:to>
      <xdr:col>4</xdr:col>
      <xdr:colOff>388775</xdr:colOff>
      <xdr:row>11</xdr:row>
      <xdr:rowOff>80090</xdr:rowOff>
    </xdr:to>
    <xdr:graphicFrame macro="">
      <xdr:nvGraphicFramePr>
        <xdr:cNvPr id="18" name="Chart 17">
          <a:hlinkClick xmlns:r="http://schemas.openxmlformats.org/officeDocument/2006/relationships" r:id="rId3"/>
          <a:extLst>
            <a:ext uri="{FF2B5EF4-FFF2-40B4-BE49-F238E27FC236}">
              <a16:creationId xmlns:a16="http://schemas.microsoft.com/office/drawing/2014/main" id="{F1D97CCC-3BA1-4B37-9A88-5CBB655A4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527247</xdr:colOff>
      <xdr:row>9</xdr:row>
      <xdr:rowOff>133350</xdr:rowOff>
    </xdr:from>
    <xdr:to>
      <xdr:col>7</xdr:col>
      <xdr:colOff>374650</xdr:colOff>
      <xdr:row>11</xdr:row>
      <xdr:rowOff>89286</xdr:rowOff>
    </xdr:to>
    <xdr:graphicFrame macro="">
      <xdr:nvGraphicFramePr>
        <xdr:cNvPr id="19" name="Chart 18">
          <a:hlinkClick xmlns:r="http://schemas.openxmlformats.org/officeDocument/2006/relationships" r:id="rId1"/>
          <a:extLst>
            <a:ext uri="{FF2B5EF4-FFF2-40B4-BE49-F238E27FC236}">
              <a16:creationId xmlns:a16="http://schemas.microsoft.com/office/drawing/2014/main" id="{2D3A692E-3241-4C71-BAA8-C0AFB5C16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478841</xdr:colOff>
      <xdr:row>9</xdr:row>
      <xdr:rowOff>50800</xdr:rowOff>
    </xdr:from>
    <xdr:to>
      <xdr:col>11</xdr:col>
      <xdr:colOff>88900</xdr:colOff>
      <xdr:row>11</xdr:row>
      <xdr:rowOff>70237</xdr:rowOff>
    </xdr:to>
    <xdr:graphicFrame macro="">
      <xdr:nvGraphicFramePr>
        <xdr:cNvPr id="20" name="Chart 19">
          <a:hlinkClick xmlns:r="http://schemas.openxmlformats.org/officeDocument/2006/relationships" r:id="rId6"/>
          <a:extLst>
            <a:ext uri="{FF2B5EF4-FFF2-40B4-BE49-F238E27FC236}">
              <a16:creationId xmlns:a16="http://schemas.microsoft.com/office/drawing/2014/main" id="{F5F8BD30-FFBA-4EEE-97FE-9FDC5F946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68738</xdr:colOff>
      <xdr:row>6</xdr:row>
      <xdr:rowOff>2</xdr:rowOff>
    </xdr:from>
    <xdr:to>
      <xdr:col>2</xdr:col>
      <xdr:colOff>314228</xdr:colOff>
      <xdr:row>8</xdr:row>
      <xdr:rowOff>2</xdr:rowOff>
    </xdr:to>
    <xdr:pic>
      <xdr:nvPicPr>
        <xdr:cNvPr id="22" name="Graphic 21" descr="Male profile with solid fill">
          <a:extLst>
            <a:ext uri="{FF2B5EF4-FFF2-40B4-BE49-F238E27FC236}">
              <a16:creationId xmlns:a16="http://schemas.microsoft.com/office/drawing/2014/main" id="{0E11E844-196A-D470-48AF-586158379E39}"/>
            </a:ext>
          </a:extLst>
        </xdr:cNvPr>
        <xdr:cNvPicPr>
          <a:picLocks noChangeAspect="1"/>
        </xdr:cNvPicPr>
      </xdr:nvPicPr>
      <xdr:blipFill rotWithShape="1">
        <a:blip xmlns:r="http://schemas.openxmlformats.org/officeDocument/2006/relationships" r:embed="rId8">
          <a:extLst>
            <a:ext uri="{96DAC541-7B7A-43D3-8B79-37D633B846F1}">
              <asvg:svgBlip xmlns:asvg="http://schemas.microsoft.com/office/drawing/2016/SVG/main" r:embed="rId9"/>
            </a:ext>
          </a:extLst>
        </a:blip>
        <a:srcRect l="30070" t="8591" r="30970" b="32685"/>
        <a:stretch/>
      </xdr:blipFill>
      <xdr:spPr>
        <a:xfrm>
          <a:off x="1286367" y="1119435"/>
          <a:ext cx="245490" cy="373144"/>
        </a:xfrm>
        <a:prstGeom prst="rect">
          <a:avLst/>
        </a:prstGeom>
      </xdr:spPr>
    </xdr:pic>
    <xdr:clientData/>
  </xdr:twoCellAnchor>
  <xdr:twoCellAnchor editAs="oneCell">
    <xdr:from>
      <xdr:col>5</xdr:col>
      <xdr:colOff>19639</xdr:colOff>
      <xdr:row>6</xdr:row>
      <xdr:rowOff>28051</xdr:rowOff>
    </xdr:from>
    <xdr:to>
      <xdr:col>5</xdr:col>
      <xdr:colOff>294588</xdr:colOff>
      <xdr:row>7</xdr:row>
      <xdr:rowOff>175346</xdr:rowOff>
    </xdr:to>
    <xdr:pic>
      <xdr:nvPicPr>
        <xdr:cNvPr id="24" name="Graphic 23" descr="Hourglass Finished with solid fill">
          <a:extLst>
            <a:ext uri="{FF2B5EF4-FFF2-40B4-BE49-F238E27FC236}">
              <a16:creationId xmlns:a16="http://schemas.microsoft.com/office/drawing/2014/main" id="{B1CA0D78-1545-8365-E019-4000EA693AB1}"/>
            </a:ext>
          </a:extLst>
        </xdr:cNvPr>
        <xdr:cNvPicPr>
          <a:picLocks noChangeAspect="1"/>
        </xdr:cNvPicPr>
      </xdr:nvPicPr>
      <xdr:blipFill rotWithShape="1">
        <a:blip xmlns:r="http://schemas.openxmlformats.org/officeDocument/2006/relationships" r:embed="rId10">
          <a:extLst>
            <a:ext uri="{96DAC541-7B7A-43D3-8B79-37D633B846F1}">
              <asvg:svgBlip xmlns:asvg="http://schemas.microsoft.com/office/drawing/2016/SVG/main" r:embed="rId11"/>
            </a:ext>
          </a:extLst>
        </a:blip>
        <a:srcRect l="20404" t="10739" r="19459" b="16236"/>
        <a:stretch/>
      </xdr:blipFill>
      <xdr:spPr>
        <a:xfrm>
          <a:off x="3063711" y="1147484"/>
          <a:ext cx="274949" cy="333867"/>
        </a:xfrm>
        <a:prstGeom prst="rect">
          <a:avLst/>
        </a:prstGeom>
      </xdr:spPr>
    </xdr:pic>
    <xdr:clientData/>
  </xdr:twoCellAnchor>
  <xdr:twoCellAnchor editAs="oneCell">
    <xdr:from>
      <xdr:col>7</xdr:col>
      <xdr:colOff>530258</xdr:colOff>
      <xdr:row>6</xdr:row>
      <xdr:rowOff>19639</xdr:rowOff>
    </xdr:from>
    <xdr:to>
      <xdr:col>8</xdr:col>
      <xdr:colOff>314228</xdr:colOff>
      <xdr:row>8</xdr:row>
      <xdr:rowOff>39279</xdr:rowOff>
    </xdr:to>
    <xdr:pic>
      <xdr:nvPicPr>
        <xdr:cNvPr id="26" name="Graphic 25" descr="Bullseye with solid fill">
          <a:extLst>
            <a:ext uri="{FF2B5EF4-FFF2-40B4-BE49-F238E27FC236}">
              <a16:creationId xmlns:a16="http://schemas.microsoft.com/office/drawing/2014/main" id="{9B495636-B48A-DDE5-665D-875476815509}"/>
            </a:ext>
          </a:extLst>
        </xdr:cNvPr>
        <xdr:cNvPicPr>
          <a:picLocks noChangeAspect="1"/>
        </xdr:cNvPicPr>
      </xdr:nvPicPr>
      <xdr:blipFill rotWithShape="1">
        <a:blip xmlns:r="http://schemas.openxmlformats.org/officeDocument/2006/relationships" r:embed="rId12">
          <a:extLst>
            <a:ext uri="{96DAC541-7B7A-43D3-8B79-37D633B846F1}">
              <asvg:svgBlip xmlns:asvg="http://schemas.microsoft.com/office/drawing/2016/SVG/main" r:embed="rId13"/>
            </a:ext>
          </a:extLst>
        </a:blip>
        <a:srcRect l="7517" t="10738" r="8720" b="5498"/>
        <a:stretch/>
      </xdr:blipFill>
      <xdr:spPr>
        <a:xfrm>
          <a:off x="4791959" y="1139072"/>
          <a:ext cx="392784" cy="3927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84667</xdr:colOff>
          <xdr:row>12</xdr:row>
          <xdr:rowOff>141233</xdr:rowOff>
        </xdr:from>
        <xdr:to>
          <xdr:col>11</xdr:col>
          <xdr:colOff>45358</xdr:colOff>
          <xdr:row>16</xdr:row>
          <xdr:rowOff>82112</xdr:rowOff>
        </xdr:to>
        <xdr:pic>
          <xdr:nvPicPr>
            <xdr:cNvPr id="37" name="Picture 36">
              <a:extLst>
                <a:ext uri="{FF2B5EF4-FFF2-40B4-BE49-F238E27FC236}">
                  <a16:creationId xmlns:a16="http://schemas.microsoft.com/office/drawing/2014/main" id="{219DFD36-EC2B-DCA5-03DF-BE623B2660AD}"/>
                </a:ext>
              </a:extLst>
            </xdr:cNvPr>
            <xdr:cNvPicPr>
              <a:picLocks noChangeAspect="1" noChangeArrowheads="1"/>
              <a:extLst>
                <a:ext uri="{84589F7E-364E-4C9E-8A38-B11213B215E9}">
                  <a14:cameraTool cellRange="' Pivot Report'!$B$44:$E$46" spid="_x0000_s6167"/>
                </a:ext>
              </a:extLst>
            </xdr:cNvPicPr>
          </xdr:nvPicPr>
          <xdr:blipFill>
            <a:blip xmlns:r="http://schemas.openxmlformats.org/officeDocument/2006/relationships" r:embed="rId14"/>
            <a:srcRect/>
            <a:stretch>
              <a:fillRect/>
            </a:stretch>
          </xdr:blipFill>
          <xdr:spPr bwMode="auto">
            <a:xfrm>
              <a:off x="1301750" y="2427233"/>
              <a:ext cx="5437566" cy="70287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80873</xdr:colOff>
      <xdr:row>17</xdr:row>
      <xdr:rowOff>96645</xdr:rowOff>
    </xdr:from>
    <xdr:to>
      <xdr:col>11</xdr:col>
      <xdr:colOff>62901</xdr:colOff>
      <xdr:row>22</xdr:row>
      <xdr:rowOff>134789</xdr:rowOff>
    </xdr:to>
    <xdr:graphicFrame macro="">
      <xdr:nvGraphicFramePr>
        <xdr:cNvPr id="38" name="Chart 37">
          <a:extLst>
            <a:ext uri="{FF2B5EF4-FFF2-40B4-BE49-F238E27FC236}">
              <a16:creationId xmlns:a16="http://schemas.microsoft.com/office/drawing/2014/main" id="{FC735F91-4FB2-4BB8-A043-488F61AF9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320740</xdr:colOff>
      <xdr:row>1</xdr:row>
      <xdr:rowOff>151994</xdr:rowOff>
    </xdr:from>
    <xdr:to>
      <xdr:col>15</xdr:col>
      <xdr:colOff>62205</xdr:colOff>
      <xdr:row>8</xdr:row>
      <xdr:rowOff>126662</xdr:rowOff>
    </xdr:to>
    <xdr:graphicFrame macro="">
      <xdr:nvGraphicFramePr>
        <xdr:cNvPr id="40" name="Chart 39">
          <a:extLst>
            <a:ext uri="{FF2B5EF4-FFF2-40B4-BE49-F238E27FC236}">
              <a16:creationId xmlns:a16="http://schemas.microsoft.com/office/drawing/2014/main" id="{663B0095-EA2E-42FE-A916-40045F10E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5065</xdr:colOff>
      <xdr:row>2</xdr:row>
      <xdr:rowOff>30399</xdr:rowOff>
    </xdr:from>
    <xdr:to>
      <xdr:col>19</xdr:col>
      <xdr:colOff>293856</xdr:colOff>
      <xdr:row>9</xdr:row>
      <xdr:rowOff>608</xdr:rowOff>
    </xdr:to>
    <xdr:graphicFrame macro="">
      <xdr:nvGraphicFramePr>
        <xdr:cNvPr id="41" name="Chart 40">
          <a:extLst>
            <a:ext uri="{FF2B5EF4-FFF2-40B4-BE49-F238E27FC236}">
              <a16:creationId xmlns:a16="http://schemas.microsoft.com/office/drawing/2014/main" id="{489630F0-1DD7-4AE3-B87A-3282E06C8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305975</xdr:colOff>
      <xdr:row>11</xdr:row>
      <xdr:rowOff>174503</xdr:rowOff>
    </xdr:from>
    <xdr:to>
      <xdr:col>19</xdr:col>
      <xdr:colOff>472614</xdr:colOff>
      <xdr:row>23</xdr:row>
      <xdr:rowOff>87251</xdr:rowOff>
    </xdr:to>
    <xdr:graphicFrame macro="">
      <xdr:nvGraphicFramePr>
        <xdr:cNvPr id="42" name="Chart 41">
          <a:extLst>
            <a:ext uri="{FF2B5EF4-FFF2-40B4-BE49-F238E27FC236}">
              <a16:creationId xmlns:a16="http://schemas.microsoft.com/office/drawing/2014/main" id="{24A4E63F-7A62-4E16-878B-25EA31439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514568</xdr:colOff>
      <xdr:row>0</xdr:row>
      <xdr:rowOff>94377</xdr:rowOff>
    </xdr:from>
    <xdr:to>
      <xdr:col>11</xdr:col>
      <xdr:colOff>164224</xdr:colOff>
      <xdr:row>5</xdr:row>
      <xdr:rowOff>54742</xdr:rowOff>
    </xdr:to>
    <xdr:sp macro="" textlink="">
      <xdr:nvSpPr>
        <xdr:cNvPr id="43" name="Rectangle: Rounded Corners 42">
          <a:extLst>
            <a:ext uri="{FF2B5EF4-FFF2-40B4-BE49-F238E27FC236}">
              <a16:creationId xmlns:a16="http://schemas.microsoft.com/office/drawing/2014/main" id="{DBDF5C9F-90CA-4D5A-95D2-CD9CFB1A9CDF}"/>
            </a:ext>
          </a:extLst>
        </xdr:cNvPr>
        <xdr:cNvSpPr/>
      </xdr:nvSpPr>
      <xdr:spPr>
        <a:xfrm>
          <a:off x="5419396" y="94377"/>
          <a:ext cx="1488966" cy="89096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GB" sz="1600" b="1" i="1">
            <a:solidFill>
              <a:schemeClr val="tx1"/>
            </a:solidFill>
          </a:endParaRPr>
        </a:p>
      </xdr:txBody>
    </xdr:sp>
    <xdr:clientData/>
  </xdr:twoCellAnchor>
  <xdr:twoCellAnchor editAs="oneCell">
    <xdr:from>
      <xdr:col>8</xdr:col>
      <xdr:colOff>580417</xdr:colOff>
      <xdr:row>0</xdr:row>
      <xdr:rowOff>156249</xdr:rowOff>
    </xdr:from>
    <xdr:to>
      <xdr:col>11</xdr:col>
      <xdr:colOff>90078</xdr:colOff>
      <xdr:row>4</xdr:row>
      <xdr:rowOff>186247</xdr:rowOff>
    </xdr:to>
    <mc:AlternateContent xmlns:mc="http://schemas.openxmlformats.org/markup-compatibility/2006">
      <mc:Choice xmlns:a14="http://schemas.microsoft.com/office/drawing/2010/main" Requires="a14">
        <xdr:graphicFrame macro="">
          <xdr:nvGraphicFramePr>
            <xdr:cNvPr id="45" name="Date (Year)">
              <a:extLst>
                <a:ext uri="{FF2B5EF4-FFF2-40B4-BE49-F238E27FC236}">
                  <a16:creationId xmlns:a16="http://schemas.microsoft.com/office/drawing/2014/main" id="{FAB94B2C-0739-4EC7-9FC0-03BFD3C8BF2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436299" y="156249"/>
              <a:ext cx="1330617" cy="7770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136071</xdr:colOff>
      <xdr:row>1</xdr:row>
      <xdr:rowOff>150394</xdr:rowOff>
    </xdr:from>
    <xdr:to>
      <xdr:col>10</xdr:col>
      <xdr:colOff>368108</xdr:colOff>
      <xdr:row>15</xdr:row>
      <xdr:rowOff>186489</xdr:rowOff>
    </xdr:to>
    <xdr:graphicFrame macro="">
      <xdr:nvGraphicFramePr>
        <xdr:cNvPr id="6" name="Chart 5">
          <a:extLst>
            <a:ext uri="{FF2B5EF4-FFF2-40B4-BE49-F238E27FC236}">
              <a16:creationId xmlns:a16="http://schemas.microsoft.com/office/drawing/2014/main" id="{34716CBB-289A-41E5-A8FD-E1B2320E7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0.02807</cdr:x>
      <cdr:y>0.03394</cdr:y>
    </cdr:from>
    <cdr:to>
      <cdr:x>0.13616</cdr:x>
      <cdr:y>0.19156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6B0660D-D638-D1BF-6D01-A5AD2E626604}"/>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rcRect xmlns:a="http://schemas.openxmlformats.org/drawingml/2006/main" t="11364" b="10227"/>
        <a:stretch xmlns:a="http://schemas.openxmlformats.org/drawingml/2006/main"/>
      </cdr:blipFill>
      <cdr:spPr>
        <a:xfrm xmlns:a="http://schemas.openxmlformats.org/drawingml/2006/main">
          <a:off x="143236" y="93103"/>
          <a:ext cx="551445" cy="43238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3</xdr:col>
      <xdr:colOff>133350</xdr:colOff>
      <xdr:row>2</xdr:row>
      <xdr:rowOff>114300</xdr:rowOff>
    </xdr:from>
    <xdr:to>
      <xdr:col>13</xdr:col>
      <xdr:colOff>285749</xdr:colOff>
      <xdr:row>20</xdr:row>
      <xdr:rowOff>0</xdr:rowOff>
    </xdr:to>
    <xdr:graphicFrame macro="">
      <xdr:nvGraphicFramePr>
        <xdr:cNvPr id="2" name="Chart 1">
          <a:extLst>
            <a:ext uri="{FF2B5EF4-FFF2-40B4-BE49-F238E27FC236}">
              <a16:creationId xmlns:a16="http://schemas.microsoft.com/office/drawing/2014/main" id="{0A4AE62C-A2A4-4228-9EA7-F0F4B9E8F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0.01372</cdr:x>
      <cdr:y>0.04023</cdr:y>
    </cdr:from>
    <cdr:to>
      <cdr:x>0.12195</cdr:x>
      <cdr:y>0.19947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06FB938-6954-5394-ACAB-7C5D9264C69E}"/>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rcRect xmlns:a="http://schemas.openxmlformats.org/drawingml/2006/main" l="9375" t="14583" r="5208" b="18750"/>
        <a:stretch xmlns:a="http://schemas.openxmlformats.org/drawingml/2006/main"/>
      </cdr:blipFill>
      <cdr:spPr>
        <a:xfrm xmlns:a="http://schemas.openxmlformats.org/drawingml/2006/main">
          <a:off x="85725" y="133350"/>
          <a:ext cx="676275" cy="527824"/>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3</xdr:col>
      <xdr:colOff>381000</xdr:colOff>
      <xdr:row>4</xdr:row>
      <xdr:rowOff>38099</xdr:rowOff>
    </xdr:from>
    <xdr:to>
      <xdr:col>13</xdr:col>
      <xdr:colOff>342900</xdr:colOff>
      <xdr:row>20</xdr:row>
      <xdr:rowOff>66674</xdr:rowOff>
    </xdr:to>
    <xdr:graphicFrame macro="">
      <xdr:nvGraphicFramePr>
        <xdr:cNvPr id="2" name="Chart 1">
          <a:extLst>
            <a:ext uri="{FF2B5EF4-FFF2-40B4-BE49-F238E27FC236}">
              <a16:creationId xmlns:a16="http://schemas.microsoft.com/office/drawing/2014/main" id="{773DB9E7-61C2-41BB-A982-0F3674A01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0.01258</cdr:x>
      <cdr:y>0.00929</cdr:y>
    </cdr:from>
    <cdr:to>
      <cdr:x>0.12264</cdr:x>
      <cdr:y>0.21604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BDCC92D-A78B-6BF6-AD0D-B3C1AD38EF9A}"/>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rcRect xmlns:a="http://schemas.openxmlformats.org/drawingml/2006/main" l="4166" r="5209" b="13541"/>
        <a:stretch xmlns:a="http://schemas.openxmlformats.org/drawingml/2006/main"/>
      </cdr:blipFill>
      <cdr:spPr>
        <a:xfrm xmlns:a="http://schemas.openxmlformats.org/drawingml/2006/main">
          <a:off x="76201" y="28575"/>
          <a:ext cx="666750" cy="63609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3553241" createdVersion="5" refreshedVersion="8" minRefreshableVersion="3" recordCount="0" supportSubquery="1" supportAdvancedDrill="1" xr:uid="{3087CA97-D624-4B21-B528-D14B9F7EB2B1}">
  <cacheSource type="external" connectionId="3"/>
  <cacheFields count="4">
    <cacheField name="[Measures].[Count of Patient Id]" caption="Count of Patient Id" numFmtId="0" hierarchy="23" level="32767"/>
    <cacheField name="[Calenda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36226849" createdVersion="5" refreshedVersion="8" minRefreshableVersion="3" recordCount="0" supportSubquery="1" supportAdvancedDrill="1" xr:uid="{AD7C7BE8-3D0C-430A-BF8E-BFF9233D14D7}">
  <cacheSource type="external" connectionId="3"/>
  <cacheFields count="3">
    <cacheField name="[Measures].[Average of Patient Waittime]" caption="Average of Patient Waittime" numFmtId="0" hierarchy="25"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36805557" createdVersion="5" refreshedVersion="8" minRefreshableVersion="3" recordCount="0" supportSubquery="1" supportAdvancedDrill="1" xr:uid="{E41B9337-F663-4CD9-AC07-8EA8F8E9674E}">
  <cacheSource type="external" connectionId="3"/>
  <cacheFields count="3">
    <cacheField name="[Measures].[Average of Patient Satisfaction Score]" caption="Average of Patient Satisfaction Score" numFmtId="0" hierarchy="27"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37384257" createdVersion="5" refreshedVersion="8" minRefreshableVersion="3" recordCount="0" supportSubquery="1" supportAdvancedDrill="1" xr:uid="{B759B74B-1D5E-4499-AE3F-F91CC0EABE25}">
  <cacheSource type="external" connectionId="3"/>
  <cacheFields count="3">
    <cacheField name="[Measures].[Count of Patient Id]" caption="Count of Patient Id" numFmtId="0" hierarchy="23"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38194442" createdVersion="5" refreshedVersion="8" minRefreshableVersion="3" recordCount="0" supportSubquery="1" supportAdvancedDrill="1" xr:uid="{74730D9B-680F-41D7-8711-4B142BBDA7C9}">
  <cacheSource type="external" connectionId="3"/>
  <cacheFields count="4">
    <cacheField name="[Calenda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39120374" createdVersion="5" refreshedVersion="8" minRefreshableVersion="3" recordCount="0" supportSubquery="1" supportAdvancedDrill="1" xr:uid="{AC231089-5E95-48D1-8CC9-8209A0A86EC2}">
  <cacheSource type="external" connectionId="3"/>
  <cacheFields count="4">
    <cacheField name="[Calenda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39930559" createdVersion="5" refreshedVersion="8" minRefreshableVersion="3" recordCount="0" supportSubquery="1" supportAdvancedDrill="1" xr:uid="{8D2729A3-45EA-4DB3-8975-170662769B0E}">
  <cacheSource type="external" connectionId="3"/>
  <cacheFields count="5">
    <cacheField name="[Calenda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8" level="32767"/>
    <cacheField name="[Calendar].[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40856483" createdVersion="5" refreshedVersion="8" minRefreshableVersion="3" recordCount="0" supportSubquery="1" supportAdvancedDrill="1" xr:uid="{8121C613-53DE-4D8B-B7D3-CDFCCBE49CE1}">
  <cacheSource type="external" connectionId="3"/>
  <cacheFields count="4">
    <cacheField name="[Calendar].[Date (Month)].[Date (Month)]" caption="Date (Month)" numFmtId="0" hierarchy="1" level="1">
      <sharedItems containsSemiMixedTypes="0" containsNonDate="0" containsString="0"/>
    </cacheField>
    <cacheField name="[Hospital Emergency Room Data].[Patient Age Group].[Patient Age Group]" caption="Patient Age Group" numFmtId="0" hierarchy="17" level="1">
      <sharedItems count="8">
        <s v="0-09"/>
        <s v="10-19"/>
        <s v="20-29"/>
        <s v="30-39"/>
        <s v="40-49"/>
        <s v="50-59"/>
        <s v="60-69"/>
        <s v="70-79"/>
      </sharedItems>
    </cacheField>
    <cacheField name="[Measures].[Count of Patient Age Group]" caption="Count of Patient Age Group" numFmtId="0" hierarchy="30"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fieldsUsage count="2">
        <fieldUsage x="-1"/>
        <fieldUsage x="1"/>
      </fieldsUsage>
    </cacheHierarchy>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41666668" createdVersion="5" refreshedVersion="8" minRefreshableVersion="3" recordCount="0" supportSubquery="1" supportAdvancedDrill="1" xr:uid="{671F2836-F29F-49F2-AAFC-BF7A97C9501F}">
  <cacheSource type="external" connectionId="3"/>
  <cacheFields count="4">
    <cacheField name="[Calendar].[Date (Month)].[Date (Month)]" caption="Date (Month)" numFmtId="0" hierarchy="1" level="1">
      <sharedItems containsSemiMixedTypes="0" containsNonDate="0" containsString="0"/>
    </cacheField>
    <cacheField name="[Hospital Emergency Room Data].[Patient Status].[Patient Status]" caption="Patient Status" numFmtId="0" hierarchy="16" level="1">
      <sharedItems count="2">
        <s v="Delay"/>
        <s v="On-Time"/>
      </sharedItems>
    </cacheField>
    <cacheField name="[Measures].[Count of Patient Status]" caption="Count of Patient Status" numFmtId="0" hierarchy="31"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2" memberValueDatatype="130" unbalanced="0">
      <fieldsUsage count="2">
        <fieldUsage x="-1"/>
        <fieldUsage x="1"/>
      </fieldsUsage>
    </cacheHierarchy>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42361114" createdVersion="5" refreshedVersion="8" minRefreshableVersion="3" recordCount="0" supportSubquery="1" supportAdvancedDrill="1" xr:uid="{A9B58A10-2612-4E35-9902-052B3C822DCD}">
  <cacheSource type="external" connectionId="3"/>
  <cacheFields count="4">
    <cacheField name="[Calenda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43055553" createdVersion="5" refreshedVersion="8" minRefreshableVersion="3" recordCount="0" supportSubquery="1" supportAdvancedDrill="1" xr:uid="{4EF4D58D-5A35-4101-9B4A-D4197C7DBB9E}">
  <cacheSource type="external" connectionId="3"/>
  <cacheFields count="4">
    <cacheField name="[Calenda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Date (Year)].[Date (Year)]" caption="Date (Year)" numFmtId="0" hierarchy="3" level="1">
      <sharedItems containsSemiMixedTypes="0" containsNonDate="0" containsString="0"/>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40.219743865739" createdVersion="5" refreshedVersion="8" minRefreshableVersion="3" recordCount="0" supportSubquery="1" supportAdvancedDrill="1" xr:uid="{EE27F4AE-4B3F-4736-B6C5-1621542ED9E1}">
  <cacheSource type="external" connectionId="3"/>
  <cacheFields count="2">
    <cacheField name="[Calendar].[Date (Month)].[Date (Month)]" caption="Date (Month)" numFmtId="0" hierarchy="1" level="1">
      <sharedItems containsSemiMixedTypes="0" containsNonDate="0" containsString="0"/>
    </cacheField>
    <cacheField name="[Calendar].[Date (Year)].[Date (Year)]" caption="Date (Year)" numFmtId="0" hierarchy="3" level="1">
      <sharedItems count="1">
        <s v="2024"/>
      </sharedItems>
    </cacheField>
  </cacheFields>
  <cacheHierarchies count="35">
    <cacheHierarchy uniqueName="[Calendar].[Date]" caption="Date" attribute="1" time="1" defaultMemberUniqueName="[Calendar].[Date].[All]" allUniqueName="[Calendar].[Date].[All]" dimensionUniqueName="[Calendar]" displayFolder="" count="2"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2"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2"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cacheHierarchy uniqueName="[Calendar].[Date (Day Index)]" caption="Date (Day Index)" attribute="1" defaultMemberUniqueName="[Calendar].[Date (Day Index)].[All]" allUniqueName="[Calendar].[Date (Day Index)].[All]" dimensionUniqueName="[Calendar]" displayFolder="" count="2" memberValueDatatype="5" unbalanced="0" hidden="1"/>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38.2327" createdVersion="3" refreshedVersion="8" minRefreshableVersion="3" recordCount="0" supportSubquery="1" supportAdvancedDrill="1" xr:uid="{CFF841D3-B858-400B-A66C-B5CDAEE273E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4716682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38.236135300926" createdVersion="3" refreshedVersion="8" minRefreshableVersion="3" recordCount="0" supportSubquery="1" supportAdvancedDrill="1" xr:uid="{EB236F2D-6176-44EA-AD94-8F2F91985D1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Status]" caption="Patient Status" attribute="1" defaultMemberUniqueName="[Hospital Emergency Room Data].[Patient Status].[All]" allUniqueName="[Hospital Emergency Room Data].[Patient Status].[All]" dimensionUniqueName="[Hospital Emergency Room Data]" displayFolder="" count="0" memberValueDatatype="13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tatus]" caption="Count of Patient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265659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8829D3-C296-482A-9358-A0A1AD6AB58D}" name="PivotTable20" cacheId="2987" applyNumberFormats="0" applyBorderFormats="0" applyFontFormats="0" applyPatternFormats="0" applyAlignmentFormats="0" applyWidthHeightFormats="1" dataCaption="Values" tag="3569c39e-bb6d-4a75-ad48-df90a670bb1c" updatedVersion="8" minRefreshableVersion="3" useAutoFormatting="1" itemPrintTitles="1" createdVersion="5" indent="0" outline="1" outlineData="1" multipleFieldFilters="0" chartFormat="16">
  <location ref="B90:B9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pivotHierarchies count="35">
    <pivotHierarchy dragToData="1"/>
    <pivotHierarchy multipleItemSelectionAllowed="1" dragToData="1">
      <members count="1" level="1">
        <member name="[Calenda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6D08D1-F886-474F-94AC-F1FA355AC049}" name="PivotTable19" cacheId="2984" applyNumberFormats="0" applyBorderFormats="0" applyFontFormats="0" applyPatternFormats="0" applyAlignmentFormats="0" applyWidthHeightFormats="1" dataCaption="Values" tag="826b3d31-af1e-49c9-8169-2a2c5d001a31" updatedVersion="8" minRefreshableVersion="3" useAutoFormatting="1" itemPrintTitles="1" createdVersion="5" indent="0" outline="1" outlineData="1" multipleFieldFilters="0" chartFormat="20">
  <location ref="B77:C8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892736-AFB3-4FC2-80EB-E0D266BBBC1A}" name="PivotTable18" cacheId="2981" applyNumberFormats="0" applyBorderFormats="0" applyFontFormats="0" applyPatternFormats="0" applyAlignmentFormats="0" applyWidthHeightFormats="1" dataCaption="Values" tag="8b912055-a7d7-4f31-a3cc-343291dbc705" updatedVersion="8" minRefreshableVersion="3" useAutoFormatting="1" itemPrintTitles="1" createdVersion="5" indent="0" outline="1" outlineData="1" multipleFieldFilters="0" chartFormat="16">
  <location ref="B71:C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418EFF-2004-43BA-909B-68F7ABF9EA67}" name="PivotTable17" cacheId="2978" applyNumberFormats="0" applyBorderFormats="0" applyFontFormats="0" applyPatternFormats="0" applyAlignmentFormats="0" applyWidthHeightFormats="1" dataCaption="Values" tag="01781326-9612-45ab-a0a8-4e9a7daddefa" updatedVersion="8" minRefreshableVersion="3" useAutoFormatting="1" itemPrintTitles="1" createdVersion="5" indent="0" outline="1" outlineData="1" multipleFieldFilters="0" chartFormat="12">
  <location ref="B64:C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Status" fld="2"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53F725-2DF5-44EB-95E6-89FCB26F7921}" name="PivotTable16" cacheId="2975" applyNumberFormats="0" applyBorderFormats="0" applyFontFormats="0" applyPatternFormats="0" applyAlignmentFormats="0" applyWidthHeightFormats="1" dataCaption="Values" tag="c740beb7-3c5c-4613-b788-7acea98bf3bc" updatedVersion="8" minRefreshableVersion="3" useAutoFormatting="1" itemPrintTitles="1" createdVersion="5" indent="0" outline="1" outlineData="1" multipleFieldFilters="0" chartFormat="5">
  <location ref="B52:C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Group"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6229F2-9DDE-44DC-A53B-7136BE612B82}" name="PivotTable15" cacheId="2972" applyNumberFormats="0" applyBorderFormats="0" applyFontFormats="0" applyPatternFormats="0" applyAlignmentFormats="0" applyWidthHeightFormats="1" dataCaption="Values" tag="a8336081-4a1f-4434-a7d9-22c24a64ef50" updatedVersion="8" minRefreshableVersion="3" useAutoFormatting="1" itemPrintTitles="1" createdVersion="5" indent="0" outline="1" outlineData="1" multipleFieldFilters="0" chartFormat="2">
  <location ref="B37:D4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3EACD0-FD2F-4CD2-94C9-AA208B13F645}" name="PivotTable14" cacheId="2969" applyNumberFormats="0" applyBorderFormats="0" applyFontFormats="0" applyPatternFormats="0" applyAlignmentFormats="0" applyWidthHeightFormats="1" dataCaption="Values" tag="83d98730-ceb3-49bc-8577-fa8043200feb" updatedVersion="8" minRefreshableVersion="3" useAutoFormatting="1" itemPrintTitles="1" createdVersion="5" indent="0" outline="1" outlineData="1" multipleFieldFilters="0" chartFormat="14">
  <location ref="M3:N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40">
      <pivotArea collapsedLevelsAreSubtotals="1" fieldPosition="0">
        <references count="1">
          <reference field="0" count="0"/>
        </references>
      </pivotArea>
    </format>
  </formats>
  <chartFormats count="2">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995A51-3F9A-4B2D-A0C5-53B37B2B5E21}" name="PivotTable13" cacheId="2966" applyNumberFormats="0" applyBorderFormats="0" applyFontFormats="0" applyPatternFormats="0" applyAlignmentFormats="0" applyWidthHeightFormats="1" dataCaption="Values" tag="5dbe31eb-0150-4792-89f3-c873690e4235" updatedVersion="8" minRefreshableVersion="3" useAutoFormatting="1" itemPrintTitles="1" createdVersion="5" indent="0" outline="1" outlineData="1" multipleFieldFilters="0" chartFormat="14">
  <location ref="I3:J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41">
      <pivotArea collapsedLevelsAreSubtotals="1" fieldPosition="0">
        <references count="1">
          <reference field="0" count="0"/>
        </references>
      </pivotArea>
    </format>
  </formats>
  <chartFormats count="2">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4A3601-7D0C-4F2A-8D3C-6AB9EF96210A}" name="PivotTable12" cacheId="2954" applyNumberFormats="0" applyBorderFormats="0" applyFontFormats="0" applyPatternFormats="0" applyAlignmentFormats="0" applyWidthHeightFormats="1" dataCaption="Values" tag="adb4f122-7add-484f-948c-250e8d441a43" updatedVersion="8" minRefreshableVersion="3" useAutoFormatting="1" itemPrintTitles="1" createdVersion="5" indent="0" outline="1" outlineData="1" multipleFieldFilters="0" chartFormat="7">
  <location ref="E3:F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2">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C8A5B4-0785-4C83-970C-D2FF9FEF6346}" name="PivotTable11" cacheId="2960" applyNumberFormats="0" applyBorderFormats="0" applyFontFormats="0" applyPatternFormats="0" applyAlignmentFormats="0" applyWidthHeightFormats="1" dataCaption="Values" tag="6aad97a5-ba0d-4f67-ac67-f214dc4d508b" updatedVersion="8" minRefreshableVersion="3" useAutoFormatting="1" itemPrintTitles="1" createdVersion="5" indent="0" outline="1" outlineData="1" multipleFieldFilters="0">
  <location ref="B14:B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2">
      <pivotArea outline="0" collapsedLevelsAreSubtotals="1" fieldPosition="0"/>
    </format>
  </format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089859-5A03-49B2-99FE-BDBFA45DC60D}" name="PivotTable10" cacheId="2957" applyNumberFormats="0" applyBorderFormats="0" applyFontFormats="0" applyPatternFormats="0" applyAlignmentFormats="0" applyWidthHeightFormats="1" dataCaption="Values" tag="c9153bd6-723b-4b69-a3ab-52fab052569b" updatedVersion="8" minRefreshableVersion="3" useAutoFormatting="1" itemPrintTitles="1" createdVersion="5"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3">
      <pivotArea outline="0" collapsedLevelsAreSubtotals="1" fieldPosition="0"/>
    </format>
  </format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213925-0AE4-4FC5-A561-64C3ABB80B80}" name="PivotTable9" cacheId="2963" applyNumberFormats="0" applyBorderFormats="0" applyFontFormats="0" applyPatternFormats="0" applyAlignmentFormats="0" applyWidthHeightFormats="1" dataCaption="Values" tag="f4aa7866-e5b1-4616-9854-537f077eefc4" updatedVersion="8" minRefreshableVersion="3" useAutoFormatting="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5">
    <pivotHierarchy dragToData="1"/>
    <pivotHierarchy multipleItemSelectionAllowed="1" dragToData="1">
      <members count="1" level="1">
        <member name="[Calendar].[Date (Month)].&amp;[Ja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67AFF80-F234-4686-9A68-B3BD81454DCD}" sourceName="[Calendar].[Date (Month)]">
  <pivotTables>
    <pivotTable tabId="9" name="PivotTable12"/>
    <pivotTable tabId="9" name="PivotTable10"/>
    <pivotTable tabId="9" name="PivotTable11"/>
    <pivotTable tabId="9" name="PivotTable9"/>
    <pivotTable tabId="9" name="PivotTable13"/>
    <pivotTable tabId="9" name="PivotTable14"/>
    <pivotTable tabId="9" name="PivotTable15"/>
    <pivotTable tabId="9" name="PivotTable16"/>
    <pivotTable tabId="9" name="PivotTable17"/>
    <pivotTable tabId="9" name="PivotTable18"/>
    <pivotTable tabId="9" name="PivotTable19"/>
    <pivotTable tabId="9" name="PivotTable20"/>
  </pivotTables>
  <data>
    <olap pivotCacheId="447166828">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nd="1"/>
              <i n="[Calendar].[Date (Month)].&amp;[Dec]" c="Dec" nd="1"/>
            </range>
          </ranges>
        </level>
      </levels>
      <selections count="1">
        <selection n="[Calendar].[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E525DE7-F4A8-45EC-8DC5-FE491E35E0A5}" sourceName="[Calendar].[Date (Year)]">
  <pivotTables>
    <pivotTable tabId="9" name="PivotTable20"/>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9"/>
  </pivotTables>
  <data>
    <olap pivotCacheId="1126565989">
      <levels count="2">
        <level uniqueName="[Calendar].[Date (Year)].[(All)]" sourceCaption="(All)" count="0"/>
        <level uniqueName="[Calendar].[Date (Year)].[Date (Year)]" sourceCaption="Date (Year)" count="2">
          <ranges>
            <range startItem="0">
              <i n="[Calendar].[Date (Year)].&amp;[2024]" c="2024"/>
              <i n="[Calendar].[Date (Year)].&amp;[2023]" c="2023" nd="1"/>
            </range>
          </ranges>
        </level>
      </levels>
      <selections count="1">
        <selection n="[Calenda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F61C84B-9E81-48D2-8057-2C2A04E82AA3}" cache="Slicer_Date__Month" caption="Date (Month)" showCaption="0" level="1" style="SlicerStyleDark1" rowHeight="257175"/>
  <slicer name="Date (Year)" xr10:uid="{231E338B-56F0-4D24-A80C-6DCE30A8B622}" cache="Slicer_Date__Year" caption="Date (Year)" showCaption="0" level="1"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FDB3-DF8F-4EBC-96DE-596F0E0FEEE6}">
  <dimension ref="B3:N92"/>
  <sheetViews>
    <sheetView topLeftCell="F1" zoomScale="145" workbookViewId="0">
      <selection activeCell="B91" sqref="B91"/>
    </sheetView>
  </sheetViews>
  <sheetFormatPr defaultRowHeight="15" x14ac:dyDescent="0.25"/>
  <cols>
    <col min="2" max="2" width="13.42578125" bestFit="1" customWidth="1"/>
    <col min="3" max="3" width="28.42578125" bestFit="1" customWidth="1"/>
    <col min="4" max="4" width="31.28515625" bestFit="1" customWidth="1"/>
    <col min="5" max="5" width="13.42578125" bestFit="1" customWidth="1"/>
    <col min="6" max="6" width="18.140625" bestFit="1" customWidth="1"/>
    <col min="7" max="8" width="11" bestFit="1" customWidth="1"/>
    <col min="9" max="9" width="13.42578125" bestFit="1" customWidth="1"/>
    <col min="10" max="10" width="26.5703125" bestFit="1" customWidth="1"/>
    <col min="11" max="12" width="11" bestFit="1" customWidth="1"/>
    <col min="13" max="13" width="13.42578125" bestFit="1" customWidth="1"/>
    <col min="14" max="14" width="34.85546875" bestFit="1" customWidth="1"/>
    <col min="15" max="62" width="11" bestFit="1" customWidth="1"/>
    <col min="63" max="63" width="11.28515625" bestFit="1" customWidth="1"/>
  </cols>
  <sheetData>
    <row r="3" spans="2:14" x14ac:dyDescent="0.25">
      <c r="B3" t="s">
        <v>0</v>
      </c>
      <c r="E3" s="2" t="s">
        <v>3</v>
      </c>
      <c r="F3" t="s">
        <v>0</v>
      </c>
      <c r="I3" s="2" t="s">
        <v>3</v>
      </c>
      <c r="J3" t="s">
        <v>1</v>
      </c>
      <c r="M3" s="2" t="s">
        <v>3</v>
      </c>
      <c r="N3" t="s">
        <v>2</v>
      </c>
    </row>
    <row r="4" spans="2:14" x14ac:dyDescent="0.25">
      <c r="B4" s="1">
        <v>513</v>
      </c>
      <c r="E4" s="5" t="s">
        <v>6</v>
      </c>
      <c r="F4" s="1">
        <v>19</v>
      </c>
      <c r="I4" s="5" t="s">
        <v>6</v>
      </c>
      <c r="J4" s="3">
        <v>37.789473684210527</v>
      </c>
      <c r="M4" s="5" t="s">
        <v>6</v>
      </c>
      <c r="N4" s="6">
        <v>6.666666666666667</v>
      </c>
    </row>
    <row r="5" spans="2:14" x14ac:dyDescent="0.25">
      <c r="E5" s="5" t="s">
        <v>7</v>
      </c>
      <c r="F5" s="1">
        <v>14</v>
      </c>
      <c r="I5" s="5" t="s">
        <v>7</v>
      </c>
      <c r="J5" s="3">
        <v>38.214285714285715</v>
      </c>
      <c r="M5" s="5" t="s">
        <v>7</v>
      </c>
      <c r="N5" s="6">
        <v>3.5</v>
      </c>
    </row>
    <row r="6" spans="2:14" x14ac:dyDescent="0.25">
      <c r="E6" s="5" t="s">
        <v>8</v>
      </c>
      <c r="F6" s="1">
        <v>13</v>
      </c>
      <c r="I6" s="5" t="s">
        <v>8</v>
      </c>
      <c r="J6" s="3">
        <v>40.92307692307692</v>
      </c>
      <c r="M6" s="5" t="s">
        <v>8</v>
      </c>
      <c r="N6" s="6">
        <v>4.5</v>
      </c>
    </row>
    <row r="7" spans="2:14" x14ac:dyDescent="0.25">
      <c r="E7" s="5" t="s">
        <v>9</v>
      </c>
      <c r="F7" s="1">
        <v>22</v>
      </c>
      <c r="I7" s="5" t="s">
        <v>9</v>
      </c>
      <c r="J7" s="3">
        <v>34.5</v>
      </c>
      <c r="M7" s="5" t="s">
        <v>9</v>
      </c>
      <c r="N7" s="6">
        <v>4.8</v>
      </c>
    </row>
    <row r="8" spans="2:14" x14ac:dyDescent="0.25">
      <c r="B8" t="s">
        <v>1</v>
      </c>
      <c r="E8" s="5" t="s">
        <v>10</v>
      </c>
      <c r="F8" s="1">
        <v>19</v>
      </c>
      <c r="I8" s="5" t="s">
        <v>10</v>
      </c>
      <c r="J8" s="3">
        <v>30.684210526315791</v>
      </c>
      <c r="M8" s="5" t="s">
        <v>10</v>
      </c>
      <c r="N8" s="6">
        <v>7.75</v>
      </c>
    </row>
    <row r="9" spans="2:14" x14ac:dyDescent="0.25">
      <c r="B9" s="3">
        <v>36.323586744639378</v>
      </c>
      <c r="E9" s="5" t="s">
        <v>11</v>
      </c>
      <c r="F9" s="1">
        <v>15</v>
      </c>
      <c r="I9" s="5" t="s">
        <v>11</v>
      </c>
      <c r="J9" s="3">
        <v>37.666666666666664</v>
      </c>
      <c r="M9" s="5" t="s">
        <v>11</v>
      </c>
      <c r="N9" s="6">
        <v>6.2</v>
      </c>
    </row>
    <row r="10" spans="2:14" x14ac:dyDescent="0.25">
      <c r="E10" s="5" t="s">
        <v>12</v>
      </c>
      <c r="F10" s="1">
        <v>12</v>
      </c>
      <c r="I10" s="5" t="s">
        <v>12</v>
      </c>
      <c r="J10" s="3">
        <v>36.083333333333336</v>
      </c>
      <c r="M10" s="5" t="s">
        <v>12</v>
      </c>
      <c r="N10" s="6">
        <v>3.75</v>
      </c>
    </row>
    <row r="11" spans="2:14" x14ac:dyDescent="0.25">
      <c r="E11" s="5" t="s">
        <v>13</v>
      </c>
      <c r="F11" s="1">
        <v>21</v>
      </c>
      <c r="I11" s="5" t="s">
        <v>13</v>
      </c>
      <c r="J11" s="3">
        <v>43.523809523809526</v>
      </c>
      <c r="M11" s="5" t="s">
        <v>13</v>
      </c>
      <c r="N11" s="6">
        <v>6.5</v>
      </c>
    </row>
    <row r="12" spans="2:14" x14ac:dyDescent="0.25">
      <c r="E12" s="5" t="s">
        <v>14</v>
      </c>
      <c r="F12" s="1">
        <v>12</v>
      </c>
      <c r="I12" s="5" t="s">
        <v>14</v>
      </c>
      <c r="J12" s="3">
        <v>29.5</v>
      </c>
      <c r="M12" s="5" t="s">
        <v>14</v>
      </c>
      <c r="N12" s="6">
        <v>3</v>
      </c>
    </row>
    <row r="13" spans="2:14" x14ac:dyDescent="0.25">
      <c r="E13" s="5" t="s">
        <v>15</v>
      </c>
      <c r="F13" s="1">
        <v>13</v>
      </c>
      <c r="I13" s="5" t="s">
        <v>15</v>
      </c>
      <c r="J13" s="3">
        <v>38.07692307692308</v>
      </c>
      <c r="M13" s="5" t="s">
        <v>15</v>
      </c>
      <c r="N13" s="6">
        <v>4.5</v>
      </c>
    </row>
    <row r="14" spans="2:14" x14ac:dyDescent="0.25">
      <c r="B14" t="s">
        <v>2</v>
      </c>
      <c r="E14" s="5" t="s">
        <v>16</v>
      </c>
      <c r="F14" s="1">
        <v>13</v>
      </c>
      <c r="I14" s="5" t="s">
        <v>16</v>
      </c>
      <c r="J14" s="3">
        <v>35.846153846153847</v>
      </c>
      <c r="M14" s="5" t="s">
        <v>16</v>
      </c>
      <c r="N14" s="6">
        <v>6</v>
      </c>
    </row>
    <row r="15" spans="2:14" x14ac:dyDescent="0.25">
      <c r="B15" s="3">
        <v>4.9591836734693882</v>
      </c>
      <c r="E15" s="5" t="s">
        <v>17</v>
      </c>
      <c r="F15" s="1">
        <v>16</v>
      </c>
      <c r="I15" s="5" t="s">
        <v>17</v>
      </c>
      <c r="J15" s="3">
        <v>32.625</v>
      </c>
      <c r="M15" s="5" t="s">
        <v>17</v>
      </c>
      <c r="N15" s="6">
        <v>5.2</v>
      </c>
    </row>
    <row r="16" spans="2:14" x14ac:dyDescent="0.25">
      <c r="E16" s="5" t="s">
        <v>18</v>
      </c>
      <c r="F16" s="1">
        <v>20</v>
      </c>
      <c r="I16" s="5" t="s">
        <v>18</v>
      </c>
      <c r="J16" s="3">
        <v>39.200000000000003</v>
      </c>
      <c r="M16" s="5" t="s">
        <v>18</v>
      </c>
      <c r="N16" s="6">
        <v>4.4000000000000004</v>
      </c>
    </row>
    <row r="17" spans="5:14" x14ac:dyDescent="0.25">
      <c r="E17" s="5" t="s">
        <v>19</v>
      </c>
      <c r="F17" s="1">
        <v>25</v>
      </c>
      <c r="I17" s="5" t="s">
        <v>19</v>
      </c>
      <c r="J17" s="3">
        <v>35.28</v>
      </c>
      <c r="M17" s="5" t="s">
        <v>19</v>
      </c>
      <c r="N17" s="6">
        <v>3.4545454545454546</v>
      </c>
    </row>
    <row r="18" spans="5:14" x14ac:dyDescent="0.25">
      <c r="E18" s="5" t="s">
        <v>20</v>
      </c>
      <c r="F18" s="1">
        <v>20</v>
      </c>
      <c r="I18" s="5" t="s">
        <v>20</v>
      </c>
      <c r="J18" s="3">
        <v>32.549999999999997</v>
      </c>
      <c r="M18" s="5" t="s">
        <v>20</v>
      </c>
      <c r="N18" s="6">
        <v>4.4000000000000004</v>
      </c>
    </row>
    <row r="19" spans="5:14" x14ac:dyDescent="0.25">
      <c r="E19" s="5" t="s">
        <v>21</v>
      </c>
      <c r="F19" s="1">
        <v>14</v>
      </c>
      <c r="I19" s="5" t="s">
        <v>21</v>
      </c>
      <c r="J19" s="3">
        <v>35.642857142857146</v>
      </c>
      <c r="M19" s="5" t="s">
        <v>21</v>
      </c>
      <c r="N19" s="6">
        <v>5.833333333333333</v>
      </c>
    </row>
    <row r="20" spans="5:14" x14ac:dyDescent="0.25">
      <c r="E20" s="5" t="s">
        <v>22</v>
      </c>
      <c r="F20" s="1">
        <v>17</v>
      </c>
      <c r="I20" s="5" t="s">
        <v>22</v>
      </c>
      <c r="J20" s="3">
        <v>38.764705882352942</v>
      </c>
      <c r="M20" s="5" t="s">
        <v>22</v>
      </c>
      <c r="N20" s="6">
        <v>4.4444444444444446</v>
      </c>
    </row>
    <row r="21" spans="5:14" x14ac:dyDescent="0.25">
      <c r="E21" s="5" t="s">
        <v>23</v>
      </c>
      <c r="F21" s="1">
        <v>20</v>
      </c>
      <c r="I21" s="5" t="s">
        <v>23</v>
      </c>
      <c r="J21" s="3">
        <v>39.9</v>
      </c>
      <c r="M21" s="5" t="s">
        <v>23</v>
      </c>
      <c r="N21" s="6">
        <v>5.333333333333333</v>
      </c>
    </row>
    <row r="22" spans="5:14" x14ac:dyDescent="0.25">
      <c r="E22" s="5" t="s">
        <v>24</v>
      </c>
      <c r="F22" s="1">
        <v>10</v>
      </c>
      <c r="I22" s="5" t="s">
        <v>24</v>
      </c>
      <c r="J22" s="3">
        <v>41.6</v>
      </c>
      <c r="M22" s="5" t="s">
        <v>24</v>
      </c>
      <c r="N22" s="6">
        <v>5.333333333333333</v>
      </c>
    </row>
    <row r="23" spans="5:14" x14ac:dyDescent="0.25">
      <c r="E23" s="5" t="s">
        <v>25</v>
      </c>
      <c r="F23" s="1">
        <v>17</v>
      </c>
      <c r="I23" s="5" t="s">
        <v>25</v>
      </c>
      <c r="J23" s="3">
        <v>39.470588235294116</v>
      </c>
      <c r="M23" s="5" t="s">
        <v>25</v>
      </c>
      <c r="N23" s="6">
        <v>5.5714285714285712</v>
      </c>
    </row>
    <row r="24" spans="5:14" x14ac:dyDescent="0.25">
      <c r="E24" s="5" t="s">
        <v>26</v>
      </c>
      <c r="F24" s="1">
        <v>15</v>
      </c>
      <c r="I24" s="5" t="s">
        <v>26</v>
      </c>
      <c r="J24" s="3">
        <v>27.733333333333334</v>
      </c>
      <c r="M24" s="5" t="s">
        <v>26</v>
      </c>
      <c r="N24" s="6">
        <v>5</v>
      </c>
    </row>
    <row r="25" spans="5:14" x14ac:dyDescent="0.25">
      <c r="E25" s="5" t="s">
        <v>27</v>
      </c>
      <c r="F25" s="1">
        <v>16</v>
      </c>
      <c r="I25" s="5" t="s">
        <v>27</v>
      </c>
      <c r="J25" s="3">
        <v>36.875</v>
      </c>
      <c r="M25" s="5" t="s">
        <v>27</v>
      </c>
      <c r="N25" s="6">
        <v>6.4</v>
      </c>
    </row>
    <row r="26" spans="5:14" x14ac:dyDescent="0.25">
      <c r="E26" s="5" t="s">
        <v>28</v>
      </c>
      <c r="F26" s="1">
        <v>18</v>
      </c>
      <c r="I26" s="5" t="s">
        <v>28</v>
      </c>
      <c r="J26" s="3">
        <v>40.333333333333336</v>
      </c>
      <c r="M26" s="5" t="s">
        <v>28</v>
      </c>
      <c r="N26" s="6">
        <v>5.333333333333333</v>
      </c>
    </row>
    <row r="27" spans="5:14" x14ac:dyDescent="0.25">
      <c r="E27" s="5" t="s">
        <v>29</v>
      </c>
      <c r="F27" s="1">
        <v>16</v>
      </c>
      <c r="I27" s="5" t="s">
        <v>29</v>
      </c>
      <c r="J27" s="3">
        <v>36.5</v>
      </c>
      <c r="M27" s="5" t="s">
        <v>29</v>
      </c>
      <c r="N27" s="6">
        <v>3.75</v>
      </c>
    </row>
    <row r="28" spans="5:14" x14ac:dyDescent="0.25">
      <c r="E28" s="5" t="s">
        <v>30</v>
      </c>
      <c r="F28" s="1">
        <v>15</v>
      </c>
      <c r="I28" s="5" t="s">
        <v>30</v>
      </c>
      <c r="J28" s="3">
        <v>32.866666666666667</v>
      </c>
      <c r="M28" s="5" t="s">
        <v>30</v>
      </c>
      <c r="N28" s="6">
        <v>6.333333333333333</v>
      </c>
    </row>
    <row r="29" spans="5:14" x14ac:dyDescent="0.25">
      <c r="E29" s="5" t="s">
        <v>31</v>
      </c>
      <c r="F29" s="1">
        <v>14</v>
      </c>
      <c r="I29" s="5" t="s">
        <v>31</v>
      </c>
      <c r="J29" s="3">
        <v>36.642857142857146</v>
      </c>
      <c r="M29" s="5" t="s">
        <v>31</v>
      </c>
      <c r="N29" s="6">
        <v>10</v>
      </c>
    </row>
    <row r="30" spans="5:14" x14ac:dyDescent="0.25">
      <c r="E30" s="5" t="s">
        <v>32</v>
      </c>
      <c r="F30" s="1">
        <v>16</v>
      </c>
      <c r="I30" s="5" t="s">
        <v>32</v>
      </c>
      <c r="J30" s="3">
        <v>36.5625</v>
      </c>
      <c r="M30" s="5" t="s">
        <v>32</v>
      </c>
      <c r="N30" s="6">
        <v>5</v>
      </c>
    </row>
    <row r="31" spans="5:14" x14ac:dyDescent="0.25">
      <c r="E31" s="5" t="s">
        <v>33</v>
      </c>
      <c r="F31" s="1">
        <v>20</v>
      </c>
      <c r="I31" s="5" t="s">
        <v>33</v>
      </c>
      <c r="J31" s="3">
        <v>32.15</v>
      </c>
      <c r="M31" s="5" t="s">
        <v>33</v>
      </c>
      <c r="N31" s="6">
        <v>5.333333333333333</v>
      </c>
    </row>
    <row r="32" spans="5:14" x14ac:dyDescent="0.25">
      <c r="E32" s="5" t="s">
        <v>34</v>
      </c>
      <c r="F32" s="1">
        <v>19</v>
      </c>
      <c r="I32" s="5" t="s">
        <v>34</v>
      </c>
      <c r="J32" s="3">
        <v>38.368421052631582</v>
      </c>
      <c r="M32" s="5" t="s">
        <v>34</v>
      </c>
      <c r="N32" s="6">
        <v>4.8</v>
      </c>
    </row>
    <row r="33" spans="2:14" x14ac:dyDescent="0.25">
      <c r="E33" s="5" t="s">
        <v>35</v>
      </c>
      <c r="F33" s="1">
        <v>14</v>
      </c>
      <c r="I33" s="5" t="s">
        <v>35</v>
      </c>
      <c r="J33" s="3">
        <v>33.071428571428569</v>
      </c>
      <c r="M33" s="5" t="s">
        <v>35</v>
      </c>
      <c r="N33" s="6">
        <v>5</v>
      </c>
    </row>
    <row r="34" spans="2:14" x14ac:dyDescent="0.25">
      <c r="E34" s="5" t="s">
        <v>36</v>
      </c>
      <c r="F34" s="1">
        <v>18</v>
      </c>
      <c r="I34" s="5" t="s">
        <v>36</v>
      </c>
      <c r="J34" s="3">
        <v>36.444444444444443</v>
      </c>
      <c r="M34" s="5" t="s">
        <v>36</v>
      </c>
      <c r="N34" s="6">
        <v>1.4</v>
      </c>
    </row>
    <row r="35" spans="2:14" x14ac:dyDescent="0.25">
      <c r="E35" s="5" t="s">
        <v>4</v>
      </c>
      <c r="F35" s="1">
        <v>513</v>
      </c>
      <c r="I35" s="5" t="s">
        <v>4</v>
      </c>
      <c r="J35" s="1">
        <v>36.323586744639378</v>
      </c>
      <c r="M35" s="5" t="s">
        <v>4</v>
      </c>
      <c r="N35" s="1">
        <v>4.9591836734693882</v>
      </c>
    </row>
    <row r="37" spans="2:14" x14ac:dyDescent="0.25">
      <c r="B37" s="2" t="s">
        <v>3</v>
      </c>
      <c r="C37" t="s">
        <v>40</v>
      </c>
      <c r="D37" t="s">
        <v>41</v>
      </c>
    </row>
    <row r="38" spans="2:14" x14ac:dyDescent="0.25">
      <c r="B38" s="5" t="s">
        <v>38</v>
      </c>
      <c r="C38" s="1">
        <v>269</v>
      </c>
      <c r="D38" s="8">
        <v>0.52436647173489281</v>
      </c>
    </row>
    <row r="39" spans="2:14" x14ac:dyDescent="0.25">
      <c r="B39" s="5" t="s">
        <v>39</v>
      </c>
      <c r="C39" s="1">
        <v>244</v>
      </c>
      <c r="D39" s="8">
        <v>0.47563352826510719</v>
      </c>
    </row>
    <row r="40" spans="2:14" x14ac:dyDescent="0.25">
      <c r="B40" s="5" t="s">
        <v>4</v>
      </c>
      <c r="C40" s="1">
        <v>513</v>
      </c>
      <c r="D40" s="8">
        <v>1</v>
      </c>
    </row>
    <row r="43" spans="2:14" x14ac:dyDescent="0.25">
      <c r="B43" s="5"/>
    </row>
    <row r="44" spans="2:14" x14ac:dyDescent="0.25">
      <c r="B44" s="10" t="s">
        <v>42</v>
      </c>
      <c r="C44" s="10" t="s">
        <v>44</v>
      </c>
      <c r="D44" s="10" t="s">
        <v>43</v>
      </c>
      <c r="E44" s="11"/>
    </row>
    <row r="45" spans="2:14" x14ac:dyDescent="0.25">
      <c r="B45" s="12" t="str">
        <f>B39</f>
        <v>Not Admitted</v>
      </c>
      <c r="C45" s="12">
        <f t="shared" ref="C44:D45" si="0">C39</f>
        <v>244</v>
      </c>
      <c r="D45" s="13">
        <f t="shared" si="0"/>
        <v>0.47563352826510719</v>
      </c>
      <c r="E45" s="12"/>
    </row>
    <row r="46" spans="2:14" x14ac:dyDescent="0.25">
      <c r="B46" s="12" t="str">
        <f>B38</f>
        <v>Admitted</v>
      </c>
      <c r="C46" s="12">
        <f>C38</f>
        <v>269</v>
      </c>
      <c r="D46" s="13">
        <f>D38</f>
        <v>0.52436647173489281</v>
      </c>
      <c r="E46" s="12"/>
    </row>
    <row r="47" spans="2:14" x14ac:dyDescent="0.25">
      <c r="D47" s="9"/>
    </row>
    <row r="51" spans="2:3" x14ac:dyDescent="0.25">
      <c r="B51" t="s">
        <v>54</v>
      </c>
    </row>
    <row r="52" spans="2:3" x14ac:dyDescent="0.25">
      <c r="B52" s="2" t="s">
        <v>3</v>
      </c>
      <c r="C52" t="s">
        <v>53</v>
      </c>
    </row>
    <row r="53" spans="2:3" x14ac:dyDescent="0.25">
      <c r="B53" s="5" t="s">
        <v>45</v>
      </c>
      <c r="C53" s="1">
        <v>72</v>
      </c>
    </row>
    <row r="54" spans="2:3" x14ac:dyDescent="0.25">
      <c r="B54" s="5" t="s">
        <v>46</v>
      </c>
      <c r="C54" s="1">
        <v>68</v>
      </c>
    </row>
    <row r="55" spans="2:3" x14ac:dyDescent="0.25">
      <c r="B55" s="5" t="s">
        <v>47</v>
      </c>
      <c r="C55" s="1">
        <v>58</v>
      </c>
    </row>
    <row r="56" spans="2:3" x14ac:dyDescent="0.25">
      <c r="B56" s="5" t="s">
        <v>48</v>
      </c>
      <c r="C56" s="1">
        <v>64</v>
      </c>
    </row>
    <row r="57" spans="2:3" x14ac:dyDescent="0.25">
      <c r="B57" s="5" t="s">
        <v>49</v>
      </c>
      <c r="C57" s="1">
        <v>58</v>
      </c>
    </row>
    <row r="58" spans="2:3" x14ac:dyDescent="0.25">
      <c r="B58" s="5" t="s">
        <v>50</v>
      </c>
      <c r="C58" s="1">
        <v>68</v>
      </c>
    </row>
    <row r="59" spans="2:3" x14ac:dyDescent="0.25">
      <c r="B59" s="5" t="s">
        <v>51</v>
      </c>
      <c r="C59" s="1">
        <v>68</v>
      </c>
    </row>
    <row r="60" spans="2:3" x14ac:dyDescent="0.25">
      <c r="B60" s="5" t="s">
        <v>52</v>
      </c>
      <c r="C60" s="1">
        <v>57</v>
      </c>
    </row>
    <row r="61" spans="2:3" x14ac:dyDescent="0.25">
      <c r="B61" s="5" t="s">
        <v>4</v>
      </c>
      <c r="C61" s="1">
        <v>513</v>
      </c>
    </row>
    <row r="63" spans="2:3" x14ac:dyDescent="0.25">
      <c r="B63" s="5" t="s">
        <v>58</v>
      </c>
    </row>
    <row r="64" spans="2:3" x14ac:dyDescent="0.25">
      <c r="B64" s="2" t="s">
        <v>3</v>
      </c>
      <c r="C64" t="s">
        <v>57</v>
      </c>
    </row>
    <row r="65" spans="2:3" x14ac:dyDescent="0.25">
      <c r="B65" s="5" t="s">
        <v>55</v>
      </c>
      <c r="C65" s="1">
        <v>316</v>
      </c>
    </row>
    <row r="66" spans="2:3" x14ac:dyDescent="0.25">
      <c r="B66" s="5" t="s">
        <v>56</v>
      </c>
      <c r="C66" s="1">
        <v>197</v>
      </c>
    </row>
    <row r="67" spans="2:3" x14ac:dyDescent="0.25">
      <c r="B67" s="5" t="s">
        <v>4</v>
      </c>
      <c r="C67" s="1">
        <v>513</v>
      </c>
    </row>
    <row r="71" spans="2:3" x14ac:dyDescent="0.25">
      <c r="B71" s="2" t="s">
        <v>3</v>
      </c>
      <c r="C71" t="s">
        <v>61</v>
      </c>
    </row>
    <row r="72" spans="2:3" x14ac:dyDescent="0.25">
      <c r="B72" s="5" t="s">
        <v>59</v>
      </c>
      <c r="C72" s="1">
        <v>241</v>
      </c>
    </row>
    <row r="73" spans="2:3" x14ac:dyDescent="0.25">
      <c r="B73" s="5" t="s">
        <v>60</v>
      </c>
      <c r="C73" s="1">
        <v>272</v>
      </c>
    </row>
    <row r="74" spans="2:3" x14ac:dyDescent="0.25">
      <c r="B74" s="5" t="s">
        <v>4</v>
      </c>
      <c r="C74" s="1">
        <v>513</v>
      </c>
    </row>
    <row r="77" spans="2:3" x14ac:dyDescent="0.25">
      <c r="B77" s="2" t="s">
        <v>3</v>
      </c>
      <c r="C77" t="s">
        <v>70</v>
      </c>
    </row>
    <row r="78" spans="2:3" x14ac:dyDescent="0.25">
      <c r="B78" s="5" t="s">
        <v>63</v>
      </c>
      <c r="C78" s="1">
        <v>4</v>
      </c>
    </row>
    <row r="79" spans="2:3" x14ac:dyDescent="0.25">
      <c r="B79" s="5" t="s">
        <v>69</v>
      </c>
      <c r="C79" s="1">
        <v>5</v>
      </c>
    </row>
    <row r="80" spans="2:3" x14ac:dyDescent="0.25">
      <c r="B80" s="5" t="s">
        <v>65</v>
      </c>
      <c r="C80" s="1">
        <v>9</v>
      </c>
    </row>
    <row r="81" spans="2:3" x14ac:dyDescent="0.25">
      <c r="B81" s="5" t="s">
        <v>68</v>
      </c>
      <c r="C81" s="1">
        <v>14</v>
      </c>
    </row>
    <row r="82" spans="2:3" x14ac:dyDescent="0.25">
      <c r="B82" s="5" t="s">
        <v>62</v>
      </c>
      <c r="C82" s="1">
        <v>14</v>
      </c>
    </row>
    <row r="83" spans="2:3" x14ac:dyDescent="0.25">
      <c r="B83" s="5" t="s">
        <v>67</v>
      </c>
      <c r="C83" s="1">
        <v>65</v>
      </c>
    </row>
    <row r="84" spans="2:3" x14ac:dyDescent="0.25">
      <c r="B84" s="5" t="s">
        <v>64</v>
      </c>
      <c r="C84" s="1">
        <v>103</v>
      </c>
    </row>
    <row r="85" spans="2:3" x14ac:dyDescent="0.25">
      <c r="B85" s="5" t="s">
        <v>66</v>
      </c>
      <c r="C85" s="1">
        <v>299</v>
      </c>
    </row>
    <row r="86" spans="2:3" x14ac:dyDescent="0.25">
      <c r="B86" s="5" t="s">
        <v>4</v>
      </c>
      <c r="C86" s="1">
        <v>513</v>
      </c>
    </row>
    <row r="90" spans="2:3" x14ac:dyDescent="0.25">
      <c r="B90" s="2" t="s">
        <v>3</v>
      </c>
    </row>
    <row r="91" spans="2:3" x14ac:dyDescent="0.25">
      <c r="B91" s="5" t="s">
        <v>5</v>
      </c>
    </row>
    <row r="92" spans="2:3" x14ac:dyDescent="0.25">
      <c r="B92" s="5"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8117B-7D37-45EE-BB13-200DB8D50424}">
  <dimension ref="A1:T24"/>
  <sheetViews>
    <sheetView tabSelected="1" zoomScale="102" zoomScaleNormal="112" workbookViewId="0"/>
  </sheetViews>
  <sheetFormatPr defaultRowHeight="15" x14ac:dyDescent="0.25"/>
  <sheetData>
    <row r="1" spans="1:20" x14ac:dyDescent="0.25">
      <c r="A1" s="4"/>
      <c r="B1" s="4"/>
      <c r="C1" s="4"/>
      <c r="D1" s="4"/>
      <c r="E1" s="4"/>
      <c r="F1" s="4"/>
      <c r="G1" s="4"/>
      <c r="H1" s="4"/>
      <c r="I1" s="4"/>
      <c r="J1" s="4"/>
      <c r="K1" s="4"/>
      <c r="L1" s="4"/>
      <c r="M1" s="4"/>
      <c r="N1" s="4"/>
      <c r="O1" s="4"/>
      <c r="P1" s="4"/>
      <c r="Q1" s="4"/>
      <c r="R1" s="4"/>
      <c r="S1" s="4"/>
      <c r="T1" s="4"/>
    </row>
    <row r="2" spans="1:20" x14ac:dyDescent="0.25">
      <c r="A2" s="4"/>
      <c r="B2" s="4"/>
      <c r="C2" s="4"/>
      <c r="D2" s="4"/>
      <c r="E2" s="4"/>
      <c r="F2" s="4"/>
      <c r="G2" s="4"/>
      <c r="H2" s="4"/>
      <c r="I2" s="4"/>
      <c r="J2" s="4"/>
      <c r="K2" s="4"/>
      <c r="L2" s="4"/>
      <c r="M2" s="4"/>
      <c r="N2" s="4"/>
      <c r="O2" s="4"/>
      <c r="P2" s="4"/>
      <c r="Q2" s="4"/>
      <c r="R2" s="4"/>
      <c r="S2" s="4"/>
      <c r="T2" s="4"/>
    </row>
    <row r="3" spans="1:20" x14ac:dyDescent="0.25">
      <c r="A3" s="4"/>
      <c r="B3" s="4"/>
      <c r="C3" s="4"/>
      <c r="D3" s="4"/>
      <c r="E3" s="4"/>
      <c r="F3" s="4"/>
      <c r="G3" s="4"/>
      <c r="H3" s="4"/>
      <c r="I3" s="4"/>
      <c r="J3" s="4"/>
      <c r="K3" s="4"/>
      <c r="L3" s="4"/>
      <c r="M3" s="4"/>
      <c r="N3" s="4"/>
      <c r="O3" s="4"/>
      <c r="P3" s="4"/>
      <c r="Q3" s="4"/>
      <c r="R3" s="4"/>
      <c r="S3" s="4"/>
      <c r="T3" s="4"/>
    </row>
    <row r="4" spans="1:20" x14ac:dyDescent="0.25">
      <c r="A4" s="4"/>
      <c r="B4" s="4"/>
      <c r="C4" s="4"/>
      <c r="D4" s="4"/>
      <c r="E4" s="4"/>
      <c r="F4" s="4"/>
      <c r="G4" s="4"/>
      <c r="H4" s="4"/>
      <c r="I4" s="4"/>
      <c r="J4" s="4"/>
      <c r="K4" s="4"/>
      <c r="L4" s="4"/>
      <c r="M4" s="4"/>
      <c r="N4" s="4"/>
      <c r="O4" s="4"/>
      <c r="P4" s="4"/>
      <c r="Q4" s="4"/>
      <c r="R4" s="4"/>
      <c r="S4" s="4"/>
      <c r="T4" s="4"/>
    </row>
    <row r="5" spans="1:20" x14ac:dyDescent="0.25">
      <c r="A5" s="4"/>
      <c r="B5" s="4"/>
      <c r="C5" s="4"/>
      <c r="D5" s="4"/>
      <c r="E5" s="4"/>
      <c r="F5" s="4"/>
      <c r="G5" s="4"/>
      <c r="H5" s="4"/>
      <c r="I5" s="4"/>
      <c r="J5" s="4"/>
      <c r="K5" s="4"/>
      <c r="L5" s="4"/>
      <c r="M5" s="4"/>
      <c r="N5" s="4"/>
      <c r="O5" s="4"/>
      <c r="P5" s="4"/>
      <c r="Q5" s="4"/>
      <c r="R5" s="4"/>
      <c r="S5" s="4"/>
      <c r="T5" s="4"/>
    </row>
    <row r="6" spans="1:20" x14ac:dyDescent="0.25">
      <c r="A6" s="4"/>
      <c r="B6" s="4"/>
      <c r="C6" s="4"/>
      <c r="D6" s="4"/>
      <c r="E6" s="4"/>
      <c r="F6" s="4"/>
      <c r="G6" s="4"/>
      <c r="H6" s="4"/>
      <c r="I6" s="4"/>
      <c r="J6" s="4"/>
      <c r="K6" s="4"/>
      <c r="L6" s="4"/>
      <c r="M6" s="4"/>
      <c r="N6" s="4"/>
      <c r="O6" s="4"/>
      <c r="P6" s="4"/>
      <c r="Q6" s="4"/>
      <c r="R6" s="4"/>
      <c r="S6" s="4"/>
      <c r="T6" s="4"/>
    </row>
    <row r="7" spans="1:20" x14ac:dyDescent="0.25">
      <c r="A7" s="4"/>
      <c r="B7" s="4"/>
      <c r="C7" s="4"/>
      <c r="D7" s="4"/>
      <c r="E7" s="4"/>
      <c r="F7" s="4"/>
      <c r="G7" s="4"/>
      <c r="H7" s="4"/>
      <c r="I7" s="4"/>
      <c r="J7" s="4"/>
      <c r="K7" s="4"/>
      <c r="L7" s="4"/>
      <c r="M7" s="4"/>
      <c r="N7" s="4"/>
      <c r="O7" s="4"/>
      <c r="P7" s="4"/>
      <c r="Q7" s="4"/>
      <c r="R7" s="4"/>
      <c r="S7" s="4"/>
      <c r="T7" s="4"/>
    </row>
    <row r="8" spans="1:20" x14ac:dyDescent="0.25">
      <c r="A8" s="4"/>
      <c r="B8" s="4"/>
      <c r="C8" s="4"/>
      <c r="D8" s="4"/>
      <c r="E8" s="4"/>
      <c r="F8" s="4"/>
      <c r="G8" s="4"/>
      <c r="H8" s="4"/>
      <c r="I8" s="4"/>
      <c r="J8" s="4"/>
      <c r="K8" s="4"/>
      <c r="L8" s="4"/>
      <c r="M8" s="4"/>
      <c r="N8" s="4"/>
      <c r="O8" s="4"/>
      <c r="P8" s="4"/>
      <c r="Q8" s="4"/>
      <c r="R8" s="4"/>
      <c r="S8" s="4"/>
      <c r="T8" s="4"/>
    </row>
    <row r="9" spans="1:20" x14ac:dyDescent="0.25">
      <c r="A9" s="4"/>
      <c r="B9" s="4"/>
      <c r="C9" s="4"/>
      <c r="D9" s="4"/>
      <c r="E9" s="4"/>
      <c r="F9" s="4"/>
      <c r="G9" s="4"/>
      <c r="H9" s="4"/>
      <c r="I9" s="4"/>
      <c r="J9" s="4"/>
      <c r="K9" s="4"/>
      <c r="L9" s="4"/>
      <c r="M9" s="4"/>
      <c r="N9" s="4"/>
      <c r="O9" s="4"/>
      <c r="P9" s="4"/>
      <c r="Q9" s="4"/>
      <c r="R9" s="4"/>
      <c r="S9" s="4"/>
      <c r="T9" s="4"/>
    </row>
    <row r="10" spans="1:20" x14ac:dyDescent="0.25">
      <c r="A10" s="4"/>
      <c r="B10" s="4"/>
      <c r="C10" s="4"/>
      <c r="D10" s="4"/>
      <c r="E10" s="4"/>
      <c r="F10" s="4"/>
      <c r="G10" s="4"/>
      <c r="H10" s="4"/>
      <c r="I10" s="4"/>
      <c r="J10" s="4"/>
      <c r="K10" s="4"/>
      <c r="L10" s="4"/>
      <c r="M10" s="4"/>
      <c r="N10" s="4"/>
      <c r="O10" s="4"/>
      <c r="P10" s="4"/>
      <c r="Q10" s="4"/>
      <c r="R10" s="4"/>
      <c r="S10" s="4"/>
      <c r="T10" s="4"/>
    </row>
    <row r="11" spans="1:20" x14ac:dyDescent="0.25">
      <c r="A11" s="4"/>
      <c r="B11" s="4"/>
      <c r="C11" s="4"/>
      <c r="D11" s="4"/>
      <c r="E11" s="4"/>
      <c r="F11" s="4"/>
      <c r="G11" s="4"/>
      <c r="H11" s="4"/>
      <c r="I11" s="4"/>
      <c r="J11" s="4"/>
      <c r="K11" s="4"/>
      <c r="L11" s="4"/>
      <c r="M11" s="4"/>
      <c r="N11" s="4"/>
      <c r="O11" s="4"/>
      <c r="P11" s="4"/>
      <c r="Q11" s="4"/>
      <c r="R11" s="4"/>
      <c r="S11" s="4"/>
      <c r="T11" s="4"/>
    </row>
    <row r="12" spans="1:20" x14ac:dyDescent="0.25">
      <c r="A12" s="4"/>
      <c r="B12" s="4"/>
      <c r="C12" s="4"/>
      <c r="D12" s="4"/>
      <c r="E12" s="4"/>
      <c r="F12" s="4"/>
      <c r="G12" s="4"/>
      <c r="H12" s="4"/>
      <c r="I12" s="4"/>
      <c r="J12" s="4"/>
      <c r="K12" s="4"/>
      <c r="L12" s="4"/>
      <c r="M12" s="4"/>
      <c r="N12" s="4"/>
      <c r="O12" s="4"/>
      <c r="P12" s="4"/>
      <c r="Q12" s="4"/>
      <c r="R12" s="4"/>
      <c r="S12" s="4"/>
      <c r="T12" s="4"/>
    </row>
    <row r="13" spans="1:20" x14ac:dyDescent="0.25">
      <c r="A13" s="4"/>
      <c r="B13" s="4"/>
      <c r="C13" s="4"/>
      <c r="D13" s="4"/>
      <c r="E13" s="4"/>
      <c r="F13" s="4"/>
      <c r="G13" s="4"/>
      <c r="H13" s="4"/>
      <c r="I13" s="4"/>
      <c r="J13" s="4"/>
      <c r="K13" s="4"/>
      <c r="L13" s="4"/>
      <c r="M13" s="4"/>
      <c r="N13" s="4"/>
      <c r="O13" s="4"/>
      <c r="P13" s="4"/>
      <c r="Q13" s="4"/>
      <c r="R13" s="4"/>
      <c r="S13" s="4"/>
      <c r="T13" s="4"/>
    </row>
    <row r="14" spans="1:20" x14ac:dyDescent="0.25">
      <c r="A14" s="4"/>
      <c r="B14" s="4"/>
      <c r="C14" s="4"/>
      <c r="D14" s="4"/>
      <c r="E14" s="4"/>
      <c r="F14" s="4"/>
      <c r="G14" s="4"/>
      <c r="H14" s="4"/>
      <c r="I14" s="4"/>
      <c r="J14" s="4"/>
      <c r="K14" s="4"/>
      <c r="L14" s="4"/>
      <c r="M14" s="4"/>
      <c r="N14" s="4"/>
      <c r="O14" s="4"/>
      <c r="P14" s="4"/>
      <c r="Q14" s="4"/>
      <c r="R14" s="4"/>
      <c r="S14" s="4"/>
      <c r="T14" s="4"/>
    </row>
    <row r="15" spans="1:20" x14ac:dyDescent="0.25">
      <c r="A15" s="4"/>
      <c r="B15" s="4"/>
      <c r="C15" s="4"/>
      <c r="D15" s="4"/>
      <c r="E15" s="4"/>
      <c r="F15" s="4"/>
      <c r="G15" s="4"/>
      <c r="H15" s="4"/>
      <c r="I15" s="4"/>
      <c r="J15" s="4"/>
      <c r="K15" s="4"/>
      <c r="L15" s="4"/>
      <c r="M15" s="4"/>
      <c r="N15" s="4"/>
      <c r="O15" s="4"/>
      <c r="P15" s="4"/>
      <c r="Q15" s="4"/>
      <c r="R15" s="4"/>
      <c r="S15" s="4"/>
      <c r="T15" s="4"/>
    </row>
    <row r="16" spans="1:20" x14ac:dyDescent="0.25">
      <c r="A16" s="4"/>
      <c r="B16" s="4"/>
      <c r="C16" s="4"/>
      <c r="D16" s="4"/>
      <c r="E16" s="4"/>
      <c r="F16" s="4"/>
      <c r="G16" s="4"/>
      <c r="H16" s="4"/>
      <c r="I16" s="4"/>
      <c r="J16" s="4"/>
      <c r="K16" s="4"/>
      <c r="L16" s="4"/>
      <c r="M16" s="4"/>
      <c r="N16" s="4"/>
      <c r="O16" s="4"/>
      <c r="P16" s="4"/>
      <c r="Q16" s="4"/>
      <c r="R16" s="4"/>
      <c r="S16" s="4"/>
      <c r="T16" s="4"/>
    </row>
    <row r="17" spans="1:20" x14ac:dyDescent="0.25">
      <c r="A17" s="4"/>
      <c r="B17" s="4"/>
      <c r="C17" s="4"/>
      <c r="D17" s="4"/>
      <c r="E17" s="4"/>
      <c r="F17" s="4"/>
      <c r="G17" s="4"/>
      <c r="H17" s="4"/>
      <c r="I17" s="4"/>
      <c r="J17" s="4"/>
      <c r="K17" s="4"/>
      <c r="L17" s="4"/>
      <c r="M17" s="4"/>
      <c r="N17" s="4"/>
      <c r="O17" s="4"/>
      <c r="P17" s="4"/>
      <c r="Q17" s="4"/>
      <c r="R17" s="4"/>
      <c r="S17" s="4"/>
      <c r="T17" s="4"/>
    </row>
    <row r="18" spans="1:20" x14ac:dyDescent="0.25">
      <c r="A18" s="4"/>
      <c r="B18" s="4"/>
      <c r="C18" s="4"/>
      <c r="D18" s="4"/>
      <c r="E18" s="4"/>
      <c r="F18" s="4"/>
      <c r="G18" s="4"/>
      <c r="H18" s="4"/>
      <c r="I18" s="4"/>
      <c r="J18" s="4"/>
      <c r="K18" s="4"/>
      <c r="L18" s="4"/>
      <c r="M18" s="4"/>
      <c r="N18" s="4"/>
      <c r="O18" s="4"/>
      <c r="P18" s="4"/>
      <c r="Q18" s="4"/>
      <c r="R18" s="4"/>
      <c r="S18" s="4"/>
      <c r="T18" s="4"/>
    </row>
    <row r="19" spans="1:20" x14ac:dyDescent="0.25">
      <c r="A19" s="4"/>
      <c r="B19" s="4"/>
      <c r="C19" s="4"/>
      <c r="D19" s="4"/>
      <c r="E19" s="4"/>
      <c r="F19" s="4"/>
      <c r="G19" s="4"/>
      <c r="H19" s="4"/>
      <c r="I19" s="4"/>
      <c r="J19" s="4"/>
      <c r="K19" s="4"/>
      <c r="L19" s="4"/>
      <c r="M19" s="4"/>
      <c r="N19" s="4"/>
      <c r="O19" s="4"/>
      <c r="P19" s="4"/>
      <c r="Q19" s="4"/>
      <c r="R19" s="4"/>
      <c r="S19" s="4"/>
      <c r="T19" s="4"/>
    </row>
    <row r="20" spans="1:20" x14ac:dyDescent="0.25">
      <c r="A20" s="4"/>
      <c r="B20" s="4"/>
      <c r="C20" s="4"/>
      <c r="D20" s="4"/>
      <c r="E20" s="4"/>
      <c r="F20" s="4"/>
      <c r="G20" s="4"/>
      <c r="H20" s="4"/>
      <c r="I20" s="4"/>
      <c r="J20" s="4"/>
      <c r="K20" s="4"/>
      <c r="L20" s="4"/>
      <c r="M20" s="4"/>
      <c r="N20" s="4"/>
      <c r="O20" s="4"/>
      <c r="P20" s="4"/>
      <c r="Q20" s="4"/>
      <c r="R20" s="4"/>
      <c r="S20" s="4"/>
      <c r="T20" s="4"/>
    </row>
    <row r="21" spans="1:20" x14ac:dyDescent="0.25">
      <c r="A21" s="4"/>
      <c r="B21" s="4"/>
      <c r="C21" s="4"/>
      <c r="D21" s="4"/>
      <c r="E21" s="4"/>
      <c r="F21" s="4"/>
      <c r="G21" s="4"/>
      <c r="H21" s="4"/>
      <c r="I21" s="4"/>
      <c r="J21" s="4"/>
      <c r="K21" s="4"/>
      <c r="L21" s="4"/>
      <c r="M21" s="4"/>
      <c r="N21" s="4"/>
      <c r="O21" s="4"/>
      <c r="P21" s="4"/>
      <c r="Q21" s="4"/>
      <c r="R21" s="4"/>
      <c r="S21" s="4"/>
      <c r="T21" s="4"/>
    </row>
    <row r="22" spans="1:20" x14ac:dyDescent="0.25">
      <c r="A22" s="4"/>
      <c r="B22" s="4"/>
      <c r="C22" s="4"/>
      <c r="D22" s="4"/>
      <c r="E22" s="4"/>
      <c r="F22" s="4"/>
      <c r="G22" s="4"/>
      <c r="H22" s="4"/>
      <c r="I22" s="4"/>
      <c r="J22" s="4"/>
      <c r="K22" s="4"/>
      <c r="L22" s="4"/>
      <c r="M22" s="4"/>
      <c r="N22" s="4"/>
      <c r="O22" s="4"/>
      <c r="P22" s="4"/>
      <c r="Q22" s="4"/>
      <c r="R22" s="4"/>
      <c r="S22" s="4"/>
      <c r="T22" s="4"/>
    </row>
    <row r="23" spans="1:20" x14ac:dyDescent="0.25">
      <c r="A23" s="4"/>
      <c r="B23" s="4"/>
      <c r="C23" s="4"/>
      <c r="D23" s="4"/>
      <c r="E23" s="4"/>
      <c r="F23" s="4"/>
      <c r="G23" s="4"/>
      <c r="H23" s="4"/>
      <c r="I23" s="4"/>
      <c r="J23" s="4"/>
      <c r="K23" s="4"/>
      <c r="L23" s="4"/>
      <c r="M23" s="4"/>
      <c r="N23" s="4"/>
      <c r="O23" s="4"/>
      <c r="P23" s="4"/>
      <c r="Q23" s="4"/>
      <c r="R23" s="4"/>
      <c r="S23" s="4"/>
      <c r="T23" s="4"/>
    </row>
    <row r="24" spans="1:20" x14ac:dyDescent="0.25">
      <c r="A24" s="4"/>
      <c r="B24" s="4"/>
      <c r="C24" s="4"/>
      <c r="D24" s="4"/>
      <c r="E24" s="4"/>
      <c r="F24" s="4"/>
      <c r="G24" s="4"/>
      <c r="H24" s="4"/>
      <c r="I24" s="4"/>
      <c r="J24" s="4"/>
      <c r="K24" s="4"/>
      <c r="L24" s="4"/>
      <c r="M24" s="4"/>
      <c r="N24" s="4"/>
      <c r="O24" s="4"/>
      <c r="P24" s="4"/>
      <c r="Q24" s="4"/>
      <c r="R24" s="4"/>
      <c r="S24" s="4"/>
      <c r="T24"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E596E-FC18-4D98-9146-B0E6C95EB752}">
  <dimension ref="A1:Q23"/>
  <sheetViews>
    <sheetView zoomScale="133" workbookViewId="0"/>
  </sheetViews>
  <sheetFormatPr defaultRowHeight="15" x14ac:dyDescent="0.25"/>
  <sheetData>
    <row r="1" spans="1:17" x14ac:dyDescent="0.25">
      <c r="A1" s="4"/>
      <c r="B1" s="4"/>
      <c r="C1" s="4"/>
      <c r="D1" s="4"/>
      <c r="E1" s="4"/>
      <c r="F1" s="4"/>
      <c r="G1" s="4"/>
      <c r="H1" s="4"/>
      <c r="I1" s="4"/>
      <c r="J1" s="4"/>
      <c r="K1" s="4"/>
      <c r="L1" s="4"/>
      <c r="M1" s="4"/>
      <c r="N1" s="4"/>
      <c r="O1" s="4"/>
      <c r="P1" s="4"/>
      <c r="Q1" s="4"/>
    </row>
    <row r="2" spans="1:17" x14ac:dyDescent="0.25">
      <c r="A2" s="4"/>
      <c r="B2" s="4"/>
      <c r="C2" s="4"/>
      <c r="D2" s="4"/>
      <c r="E2" s="4"/>
      <c r="F2" s="4"/>
      <c r="G2" s="4"/>
      <c r="H2" s="7" t="s">
        <v>37</v>
      </c>
      <c r="I2" s="4"/>
      <c r="J2" s="4"/>
      <c r="K2" s="4"/>
      <c r="L2" s="4"/>
      <c r="M2" s="4"/>
      <c r="N2" s="4"/>
      <c r="O2" s="4"/>
      <c r="P2" s="4"/>
      <c r="Q2" s="4"/>
    </row>
    <row r="3" spans="1:17" x14ac:dyDescent="0.25">
      <c r="A3" s="4"/>
      <c r="B3" s="4"/>
      <c r="C3" s="4"/>
      <c r="D3" s="4"/>
      <c r="E3" s="4"/>
      <c r="F3" s="4"/>
      <c r="G3" s="4"/>
      <c r="H3" s="4"/>
      <c r="I3" s="4"/>
      <c r="J3" s="4"/>
      <c r="K3" s="4"/>
      <c r="L3" s="4"/>
      <c r="M3" s="4"/>
      <c r="N3" s="4"/>
      <c r="O3" s="4"/>
      <c r="P3" s="4"/>
      <c r="Q3" s="4"/>
    </row>
    <row r="4" spans="1:17" x14ac:dyDescent="0.25">
      <c r="A4" s="4"/>
      <c r="B4" s="4"/>
      <c r="C4" s="4"/>
      <c r="D4" s="4"/>
      <c r="E4" s="4"/>
      <c r="F4" s="4"/>
      <c r="G4" s="4"/>
      <c r="H4" s="4"/>
      <c r="I4" s="4"/>
      <c r="J4" s="4"/>
      <c r="K4" s="4"/>
      <c r="L4" s="4"/>
      <c r="M4" s="4"/>
      <c r="N4" s="4"/>
      <c r="O4" s="4"/>
      <c r="P4" s="4"/>
      <c r="Q4" s="4"/>
    </row>
    <row r="5" spans="1:17" x14ac:dyDescent="0.25">
      <c r="A5" s="4"/>
      <c r="B5" s="4"/>
      <c r="C5" s="4"/>
      <c r="D5" s="4"/>
      <c r="E5" s="4"/>
      <c r="F5" s="4"/>
      <c r="G5" s="4"/>
      <c r="H5" s="4"/>
      <c r="I5" s="4"/>
      <c r="J5" s="4"/>
      <c r="K5" s="4"/>
      <c r="L5" s="4"/>
      <c r="M5" s="4"/>
      <c r="N5" s="4"/>
      <c r="O5" s="4"/>
      <c r="P5" s="4"/>
      <c r="Q5" s="4"/>
    </row>
    <row r="6" spans="1:17" x14ac:dyDescent="0.25">
      <c r="A6" s="4"/>
      <c r="B6" s="4"/>
      <c r="C6" s="4"/>
      <c r="D6" s="4"/>
      <c r="E6" s="4"/>
      <c r="F6" s="4"/>
      <c r="G6" s="4"/>
      <c r="H6" s="4"/>
      <c r="I6" s="4"/>
      <c r="J6" s="4"/>
      <c r="K6" s="4"/>
      <c r="L6" s="4"/>
      <c r="M6" s="4"/>
      <c r="N6" s="4"/>
      <c r="O6" s="4"/>
      <c r="P6" s="4"/>
      <c r="Q6" s="4"/>
    </row>
    <row r="7" spans="1:17" x14ac:dyDescent="0.25">
      <c r="A7" s="4"/>
      <c r="B7" s="4"/>
      <c r="C7" s="4"/>
      <c r="D7" s="4"/>
      <c r="E7" s="4"/>
      <c r="F7" s="4"/>
      <c r="G7" s="4"/>
      <c r="H7" s="4"/>
      <c r="I7" s="4"/>
      <c r="J7" s="4"/>
      <c r="K7" s="4"/>
      <c r="L7" s="4"/>
      <c r="M7" s="4"/>
      <c r="N7" s="4"/>
      <c r="O7" s="4"/>
      <c r="P7" s="4"/>
      <c r="Q7" s="4"/>
    </row>
    <row r="8" spans="1:17" x14ac:dyDescent="0.25">
      <c r="A8" s="4"/>
      <c r="B8" s="4"/>
      <c r="C8" s="4"/>
      <c r="D8" s="4"/>
      <c r="E8" s="4"/>
      <c r="F8" s="4"/>
      <c r="G8" s="4"/>
      <c r="H8" s="4"/>
      <c r="I8" s="4"/>
      <c r="J8" s="4"/>
      <c r="K8" s="4"/>
      <c r="L8" s="4"/>
      <c r="M8" s="4"/>
      <c r="N8" s="4"/>
      <c r="O8" s="4"/>
      <c r="P8" s="4"/>
      <c r="Q8" s="4"/>
    </row>
    <row r="9" spans="1:17" x14ac:dyDescent="0.25">
      <c r="A9" s="4"/>
      <c r="B9" s="4"/>
      <c r="C9" s="4"/>
      <c r="D9" s="4"/>
      <c r="E9" s="4"/>
      <c r="F9" s="4"/>
      <c r="G9" s="4"/>
      <c r="H9" s="4"/>
      <c r="I9" s="4"/>
      <c r="J9" s="4"/>
      <c r="K9" s="4"/>
      <c r="L9" s="4"/>
      <c r="M9" s="4"/>
      <c r="N9" s="4"/>
      <c r="O9" s="4"/>
      <c r="P9" s="4"/>
      <c r="Q9" s="4"/>
    </row>
    <row r="10" spans="1:17" x14ac:dyDescent="0.25">
      <c r="A10" s="4"/>
      <c r="B10" s="4"/>
      <c r="C10" s="4"/>
      <c r="D10" s="4"/>
      <c r="E10" s="4"/>
      <c r="F10" s="4"/>
      <c r="G10" s="4"/>
      <c r="H10" s="4"/>
      <c r="I10" s="4"/>
      <c r="J10" s="4"/>
      <c r="K10" s="4"/>
      <c r="L10" s="4"/>
      <c r="M10" s="4"/>
      <c r="N10" s="4"/>
      <c r="O10" s="4"/>
      <c r="P10" s="4"/>
      <c r="Q10" s="4"/>
    </row>
    <row r="11" spans="1:17" x14ac:dyDescent="0.25">
      <c r="A11" s="4"/>
      <c r="B11" s="4"/>
      <c r="C11" s="4"/>
      <c r="D11" s="4"/>
      <c r="E11" s="4"/>
      <c r="F11" s="4"/>
      <c r="G11" s="4"/>
      <c r="H11" s="4"/>
      <c r="I11" s="4"/>
      <c r="J11" s="4"/>
      <c r="K11" s="4"/>
      <c r="L11" s="4"/>
      <c r="M11" s="4"/>
      <c r="N11" s="4"/>
      <c r="O11" s="4"/>
      <c r="P11" s="4"/>
      <c r="Q11" s="4"/>
    </row>
    <row r="12" spans="1:17" x14ac:dyDescent="0.25">
      <c r="A12" s="4"/>
      <c r="B12" s="4"/>
      <c r="C12" s="4"/>
      <c r="D12" s="4"/>
      <c r="E12" s="4"/>
      <c r="F12" s="4"/>
      <c r="G12" s="4"/>
      <c r="H12" s="4"/>
      <c r="I12" s="4"/>
      <c r="J12" s="4"/>
      <c r="K12" s="4"/>
      <c r="L12" s="4"/>
      <c r="M12" s="4"/>
      <c r="N12" s="4"/>
      <c r="O12" s="4"/>
      <c r="P12" s="4"/>
      <c r="Q12" s="4"/>
    </row>
    <row r="13" spans="1:17" x14ac:dyDescent="0.25">
      <c r="A13" s="4"/>
      <c r="B13" s="4"/>
      <c r="C13" s="4"/>
      <c r="D13" s="4"/>
      <c r="E13" s="4"/>
      <c r="F13" s="4"/>
      <c r="G13" s="4"/>
      <c r="H13" s="4"/>
      <c r="I13" s="4"/>
      <c r="J13" s="4"/>
      <c r="K13" s="4"/>
      <c r="L13" s="4"/>
      <c r="M13" s="4"/>
      <c r="N13" s="4"/>
      <c r="O13" s="4"/>
      <c r="P13" s="4"/>
      <c r="Q13" s="4"/>
    </row>
    <row r="14" spans="1:17" x14ac:dyDescent="0.25">
      <c r="A14" s="4"/>
      <c r="B14" s="4"/>
      <c r="C14" s="4"/>
      <c r="D14" s="4"/>
      <c r="E14" s="4"/>
      <c r="F14" s="4"/>
      <c r="G14" s="4"/>
      <c r="H14" s="4"/>
      <c r="I14" s="4"/>
      <c r="J14" s="4"/>
      <c r="K14" s="4"/>
      <c r="L14" s="4"/>
      <c r="M14" s="4"/>
      <c r="N14" s="4"/>
      <c r="O14" s="4"/>
      <c r="P14" s="4"/>
      <c r="Q14" s="4"/>
    </row>
    <row r="15" spans="1:17" x14ac:dyDescent="0.25">
      <c r="A15" s="4"/>
      <c r="B15" s="4"/>
      <c r="C15" s="4"/>
      <c r="D15" s="4"/>
      <c r="E15" s="4"/>
      <c r="F15" s="4"/>
      <c r="G15" s="4"/>
      <c r="H15" s="4"/>
      <c r="I15" s="4"/>
      <c r="J15" s="4"/>
      <c r="K15" s="4"/>
      <c r="L15" s="4"/>
      <c r="M15" s="4"/>
      <c r="N15" s="4"/>
      <c r="O15" s="4"/>
      <c r="P15" s="4"/>
      <c r="Q15" s="4"/>
    </row>
    <row r="16" spans="1:17" x14ac:dyDescent="0.25">
      <c r="A16" s="4"/>
      <c r="B16" s="4"/>
      <c r="C16" s="4"/>
      <c r="D16" s="4"/>
      <c r="E16" s="4"/>
      <c r="F16" s="4"/>
      <c r="G16" s="4"/>
      <c r="H16" s="4"/>
      <c r="I16" s="4"/>
      <c r="J16" s="4"/>
      <c r="K16" s="4"/>
      <c r="L16" s="4"/>
      <c r="M16" s="4"/>
      <c r="N16" s="4"/>
      <c r="O16" s="4"/>
      <c r="P16" s="4"/>
      <c r="Q16" s="4"/>
    </row>
    <row r="17" spans="1:17" x14ac:dyDescent="0.25">
      <c r="A17" s="4"/>
      <c r="B17" s="4"/>
      <c r="C17" s="4"/>
      <c r="D17" s="4"/>
      <c r="E17" s="4"/>
      <c r="F17" s="4"/>
      <c r="G17" s="4"/>
      <c r="H17" s="4"/>
      <c r="I17" s="4"/>
      <c r="J17" s="4"/>
      <c r="K17" s="4"/>
      <c r="L17" s="4"/>
      <c r="M17" s="4"/>
      <c r="N17" s="4"/>
      <c r="O17" s="4"/>
      <c r="P17" s="4"/>
      <c r="Q17" s="4"/>
    </row>
    <row r="18" spans="1:17" x14ac:dyDescent="0.25">
      <c r="A18" s="4"/>
      <c r="B18" s="4"/>
      <c r="C18" s="4"/>
      <c r="D18" s="4"/>
      <c r="E18" s="4"/>
      <c r="F18" s="4"/>
      <c r="G18" s="4"/>
      <c r="H18" s="4"/>
      <c r="I18" s="4"/>
      <c r="J18" s="4"/>
      <c r="K18" s="4"/>
      <c r="L18" s="4"/>
      <c r="M18" s="4"/>
      <c r="N18" s="4"/>
      <c r="O18" s="4"/>
      <c r="P18" s="4"/>
      <c r="Q18" s="4"/>
    </row>
    <row r="19" spans="1:17" x14ac:dyDescent="0.25">
      <c r="A19" s="4"/>
      <c r="B19" s="4"/>
      <c r="C19" s="4"/>
      <c r="D19" s="4"/>
      <c r="E19" s="4"/>
      <c r="F19" s="4"/>
      <c r="G19" s="4"/>
      <c r="H19" s="4"/>
      <c r="I19" s="4"/>
      <c r="J19" s="4"/>
      <c r="K19" s="4"/>
      <c r="L19" s="4"/>
      <c r="M19" s="4"/>
      <c r="N19" s="4"/>
      <c r="O19" s="4"/>
      <c r="P19" s="4"/>
      <c r="Q19" s="4"/>
    </row>
    <row r="20" spans="1:17" x14ac:dyDescent="0.25">
      <c r="A20" s="4"/>
      <c r="B20" s="4"/>
      <c r="C20" s="4"/>
      <c r="D20" s="4"/>
      <c r="E20" s="4"/>
      <c r="F20" s="4"/>
      <c r="G20" s="4"/>
      <c r="H20" s="4"/>
      <c r="I20" s="4"/>
      <c r="J20" s="4"/>
      <c r="K20" s="4"/>
      <c r="L20" s="4"/>
      <c r="M20" s="4"/>
      <c r="N20" s="4"/>
      <c r="O20" s="4"/>
      <c r="P20" s="4"/>
      <c r="Q20" s="4"/>
    </row>
    <row r="21" spans="1:17" x14ac:dyDescent="0.25">
      <c r="A21" s="4"/>
      <c r="B21" s="4"/>
      <c r="C21" s="4"/>
      <c r="D21" s="4"/>
      <c r="E21" s="4"/>
      <c r="F21" s="4"/>
      <c r="G21" s="4"/>
      <c r="H21" s="4"/>
      <c r="I21" s="4"/>
      <c r="J21" s="4"/>
      <c r="K21" s="4"/>
      <c r="L21" s="4"/>
      <c r="M21" s="4"/>
      <c r="N21" s="4"/>
      <c r="O21" s="4"/>
      <c r="P21" s="4"/>
      <c r="Q21" s="4"/>
    </row>
    <row r="22" spans="1:17" x14ac:dyDescent="0.25">
      <c r="A22" s="4"/>
      <c r="B22" s="4"/>
      <c r="C22" s="4"/>
      <c r="D22" s="4"/>
      <c r="E22" s="4"/>
      <c r="F22" s="4"/>
      <c r="G22" s="4"/>
      <c r="H22" s="4"/>
      <c r="I22" s="4"/>
      <c r="J22" s="4"/>
      <c r="K22" s="4"/>
      <c r="L22" s="4"/>
      <c r="M22" s="4"/>
      <c r="N22" s="4"/>
      <c r="O22" s="4"/>
      <c r="P22" s="4"/>
      <c r="Q22" s="4"/>
    </row>
    <row r="23" spans="1:17" x14ac:dyDescent="0.25">
      <c r="A23" s="4"/>
      <c r="B23" s="4"/>
      <c r="C23" s="4"/>
      <c r="D23" s="4"/>
      <c r="E23" s="4"/>
      <c r="F23" s="4"/>
      <c r="G23" s="4"/>
      <c r="H23" s="4"/>
      <c r="I23" s="4"/>
      <c r="J23" s="4"/>
      <c r="K23" s="4"/>
      <c r="L23" s="4"/>
      <c r="M23" s="4"/>
      <c r="N23" s="4"/>
      <c r="O23" s="4"/>
      <c r="P23" s="4"/>
      <c r="Q23" s="4"/>
    </row>
  </sheetData>
  <hyperlinks>
    <hyperlink ref="H2" location="' Dashboard'!A1" display="' Dashboard'!A1" xr:uid="{A49B3E58-17B6-449F-94F2-99B97D34F173}"/>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19AA-AF4E-41F2-8ECA-EA23232DA326}">
  <dimension ref="A1:T25"/>
  <sheetViews>
    <sheetView workbookViewId="0"/>
  </sheetViews>
  <sheetFormatPr defaultRowHeight="15" x14ac:dyDescent="0.25"/>
  <sheetData>
    <row r="1" spans="1:20" x14ac:dyDescent="0.25">
      <c r="A1" s="4"/>
      <c r="B1" s="4"/>
      <c r="C1" s="4"/>
      <c r="D1" s="4"/>
      <c r="E1" s="4"/>
      <c r="F1" s="4"/>
      <c r="G1" s="4"/>
      <c r="H1" s="4"/>
      <c r="I1" s="4"/>
      <c r="J1" s="4"/>
      <c r="K1" s="4"/>
      <c r="L1" s="4"/>
      <c r="M1" s="4"/>
      <c r="N1" s="4"/>
      <c r="O1" s="4"/>
      <c r="P1" s="4"/>
      <c r="Q1" s="4"/>
      <c r="R1" s="4"/>
      <c r="S1" s="4"/>
      <c r="T1" s="4"/>
    </row>
    <row r="2" spans="1:20" x14ac:dyDescent="0.25">
      <c r="A2" s="4"/>
      <c r="B2" s="4"/>
      <c r="C2" s="4"/>
      <c r="D2" s="4"/>
      <c r="E2" s="4"/>
      <c r="F2" s="4"/>
      <c r="G2" s="4"/>
      <c r="H2" s="4"/>
      <c r="I2" s="4"/>
      <c r="J2" s="4"/>
      <c r="K2" s="4"/>
      <c r="L2" s="4"/>
      <c r="M2" s="4"/>
      <c r="N2" s="4"/>
      <c r="O2" s="4"/>
      <c r="P2" s="4"/>
      <c r="Q2" s="4"/>
      <c r="R2" s="4"/>
      <c r="S2" s="4"/>
      <c r="T2" s="4"/>
    </row>
    <row r="3" spans="1:20" x14ac:dyDescent="0.25">
      <c r="A3" s="4"/>
      <c r="B3" s="4"/>
      <c r="C3" s="4"/>
      <c r="D3" s="4"/>
      <c r="E3" s="4"/>
      <c r="F3" s="4"/>
      <c r="G3" s="4"/>
      <c r="H3" s="4"/>
      <c r="I3" s="4"/>
      <c r="J3" s="4"/>
      <c r="K3" s="4"/>
      <c r="L3" s="4"/>
      <c r="M3" s="4"/>
      <c r="N3" s="4"/>
      <c r="O3" s="4"/>
      <c r="P3" s="4"/>
      <c r="Q3" s="4"/>
      <c r="R3" s="4"/>
      <c r="S3" s="4"/>
      <c r="T3" s="4"/>
    </row>
    <row r="4" spans="1:20" x14ac:dyDescent="0.25">
      <c r="A4" s="4"/>
      <c r="B4" s="4"/>
      <c r="C4" s="4"/>
      <c r="D4" s="4"/>
      <c r="E4" s="4"/>
      <c r="F4" s="4"/>
      <c r="G4" s="4"/>
      <c r="H4" s="4"/>
      <c r="I4" s="4"/>
      <c r="J4" s="4"/>
      <c r="K4" s="4"/>
      <c r="L4" s="4"/>
      <c r="M4" s="4"/>
      <c r="N4" s="4"/>
      <c r="O4" s="4"/>
      <c r="P4" s="4"/>
      <c r="Q4" s="4"/>
      <c r="R4" s="4"/>
      <c r="S4" s="4"/>
      <c r="T4" s="4"/>
    </row>
    <row r="5" spans="1:20" x14ac:dyDescent="0.25">
      <c r="A5" s="4"/>
      <c r="B5" s="4"/>
      <c r="C5" s="4"/>
      <c r="D5" s="4"/>
      <c r="E5" s="4"/>
      <c r="F5" s="4"/>
      <c r="G5" s="4"/>
      <c r="H5" s="4"/>
      <c r="I5" s="4"/>
      <c r="J5" s="4"/>
      <c r="K5" s="4"/>
      <c r="L5" s="4"/>
      <c r="M5" s="4"/>
      <c r="N5" s="4"/>
      <c r="O5" s="4"/>
      <c r="P5" s="4"/>
      <c r="Q5" s="4"/>
      <c r="R5" s="4"/>
      <c r="S5" s="4"/>
      <c r="T5" s="4"/>
    </row>
    <row r="6" spans="1:20" x14ac:dyDescent="0.25">
      <c r="A6" s="4"/>
      <c r="B6" s="4"/>
      <c r="C6" s="4"/>
      <c r="D6" s="4"/>
      <c r="E6" s="4"/>
      <c r="F6" s="4"/>
      <c r="G6" s="4"/>
      <c r="H6" s="4"/>
      <c r="I6" s="4"/>
      <c r="J6" s="4"/>
      <c r="K6" s="4"/>
      <c r="L6" s="4"/>
      <c r="M6" s="4"/>
      <c r="N6" s="4"/>
      <c r="O6" s="4"/>
      <c r="P6" s="4"/>
      <c r="Q6" s="4"/>
      <c r="R6" s="4"/>
      <c r="S6" s="4"/>
      <c r="T6" s="4"/>
    </row>
    <row r="7" spans="1:20" x14ac:dyDescent="0.25">
      <c r="A7" s="4"/>
      <c r="B7" s="4"/>
      <c r="C7" s="4"/>
      <c r="D7" s="4"/>
      <c r="E7" s="4"/>
      <c r="F7" s="4"/>
      <c r="G7" s="4"/>
      <c r="H7" s="4"/>
      <c r="I7" s="4"/>
      <c r="J7" s="4"/>
      <c r="K7" s="4"/>
      <c r="L7" s="4"/>
      <c r="M7" s="4"/>
      <c r="N7" s="4"/>
      <c r="O7" s="4"/>
      <c r="P7" s="4"/>
      <c r="Q7" s="4"/>
      <c r="R7" s="4"/>
      <c r="S7" s="4"/>
      <c r="T7" s="4"/>
    </row>
    <row r="8" spans="1:20" x14ac:dyDescent="0.25">
      <c r="A8" s="4"/>
      <c r="B8" s="4"/>
      <c r="C8" s="4"/>
      <c r="D8" s="4"/>
      <c r="E8" s="4"/>
      <c r="F8" s="4"/>
      <c r="G8" s="4"/>
      <c r="H8" s="4"/>
      <c r="I8" s="4"/>
      <c r="J8" s="4"/>
      <c r="K8" s="4"/>
      <c r="L8" s="4"/>
      <c r="M8" s="4"/>
      <c r="N8" s="4"/>
      <c r="O8" s="4"/>
      <c r="P8" s="4"/>
      <c r="Q8" s="4"/>
      <c r="R8" s="4"/>
      <c r="S8" s="4"/>
      <c r="T8" s="4"/>
    </row>
    <row r="9" spans="1:20" x14ac:dyDescent="0.25">
      <c r="A9" s="4"/>
      <c r="B9" s="4"/>
      <c r="C9" s="4"/>
      <c r="D9" s="4"/>
      <c r="E9" s="4"/>
      <c r="F9" s="4"/>
      <c r="G9" s="4"/>
      <c r="H9" s="4"/>
      <c r="I9" s="4"/>
      <c r="J9" s="4"/>
      <c r="K9" s="4"/>
      <c r="L9" s="4"/>
      <c r="M9" s="4"/>
      <c r="N9" s="4"/>
      <c r="O9" s="4"/>
      <c r="P9" s="4"/>
      <c r="Q9" s="4"/>
      <c r="R9" s="4"/>
      <c r="S9" s="4"/>
      <c r="T9" s="4"/>
    </row>
    <row r="10" spans="1:20" x14ac:dyDescent="0.25">
      <c r="A10" s="4"/>
      <c r="B10" s="4"/>
      <c r="C10" s="4"/>
      <c r="D10" s="4"/>
      <c r="E10" s="4"/>
      <c r="F10" s="4"/>
      <c r="G10" s="4"/>
      <c r="H10" s="4"/>
      <c r="I10" s="4"/>
      <c r="J10" s="4"/>
      <c r="K10" s="4"/>
      <c r="L10" s="4"/>
      <c r="M10" s="4"/>
      <c r="N10" s="4"/>
      <c r="O10" s="4"/>
      <c r="P10" s="4"/>
      <c r="Q10" s="4"/>
      <c r="R10" s="4"/>
      <c r="S10" s="4"/>
      <c r="T10" s="4"/>
    </row>
    <row r="11" spans="1:20" x14ac:dyDescent="0.25">
      <c r="A11" s="4"/>
      <c r="B11" s="4"/>
      <c r="C11" s="4"/>
      <c r="D11" s="4"/>
      <c r="E11" s="4"/>
      <c r="F11" s="4"/>
      <c r="G11" s="4"/>
      <c r="H11" s="4"/>
      <c r="I11" s="4"/>
      <c r="J11" s="4"/>
      <c r="K11" s="4"/>
      <c r="L11" s="4"/>
      <c r="M11" s="4"/>
      <c r="N11" s="4"/>
      <c r="O11" s="4"/>
      <c r="P11" s="4"/>
      <c r="Q11" s="4"/>
      <c r="R11" s="4"/>
      <c r="S11" s="4"/>
      <c r="T11" s="4"/>
    </row>
    <row r="12" spans="1:20" x14ac:dyDescent="0.25">
      <c r="A12" s="4"/>
      <c r="B12" s="4"/>
      <c r="C12" s="4"/>
      <c r="D12" s="4"/>
      <c r="E12" s="4"/>
      <c r="F12" s="4"/>
      <c r="G12" s="4"/>
      <c r="H12" s="4"/>
      <c r="I12" s="4"/>
      <c r="J12" s="4"/>
      <c r="K12" s="4"/>
      <c r="L12" s="4"/>
      <c r="M12" s="4"/>
      <c r="N12" s="4"/>
      <c r="O12" s="4"/>
      <c r="P12" s="4"/>
      <c r="Q12" s="4"/>
      <c r="R12" s="4"/>
      <c r="S12" s="4"/>
      <c r="T12" s="4"/>
    </row>
    <row r="13" spans="1:20" x14ac:dyDescent="0.25">
      <c r="A13" s="4"/>
      <c r="B13" s="4"/>
      <c r="C13" s="4"/>
      <c r="D13" s="4"/>
      <c r="E13" s="4"/>
      <c r="F13" s="4"/>
      <c r="G13" s="4"/>
      <c r="H13" s="4"/>
      <c r="I13" s="4"/>
      <c r="J13" s="4"/>
      <c r="K13" s="4"/>
      <c r="L13" s="4"/>
      <c r="M13" s="4"/>
      <c r="N13" s="4"/>
      <c r="O13" s="4"/>
      <c r="P13" s="4"/>
      <c r="Q13" s="4"/>
      <c r="R13" s="4"/>
      <c r="S13" s="4"/>
      <c r="T13" s="4"/>
    </row>
    <row r="14" spans="1:20" x14ac:dyDescent="0.25">
      <c r="A14" s="4"/>
      <c r="B14" s="4"/>
      <c r="C14" s="4"/>
      <c r="D14" s="4"/>
      <c r="E14" s="4"/>
      <c r="F14" s="4"/>
      <c r="G14" s="4"/>
      <c r="H14" s="4"/>
      <c r="I14" s="4"/>
      <c r="J14" s="4"/>
      <c r="K14" s="4"/>
      <c r="L14" s="4"/>
      <c r="M14" s="4"/>
      <c r="N14" s="4"/>
      <c r="O14" s="4"/>
      <c r="P14" s="4"/>
      <c r="Q14" s="4"/>
      <c r="R14" s="4"/>
      <c r="S14" s="4"/>
      <c r="T14" s="4"/>
    </row>
    <row r="15" spans="1:20" x14ac:dyDescent="0.25">
      <c r="A15" s="4"/>
      <c r="B15" s="4"/>
      <c r="C15" s="4"/>
      <c r="D15" s="4"/>
      <c r="E15" s="4"/>
      <c r="F15" s="4"/>
      <c r="G15" s="4"/>
      <c r="H15" s="4"/>
      <c r="I15" s="4"/>
      <c r="J15" s="4"/>
      <c r="K15" s="4"/>
      <c r="L15" s="4"/>
      <c r="M15" s="4"/>
      <c r="N15" s="4"/>
      <c r="O15" s="4"/>
      <c r="P15" s="4"/>
      <c r="Q15" s="4"/>
      <c r="R15" s="4"/>
      <c r="S15" s="4"/>
      <c r="T15" s="4"/>
    </row>
    <row r="16" spans="1:20" x14ac:dyDescent="0.25">
      <c r="A16" s="4"/>
      <c r="B16" s="4"/>
      <c r="C16" s="4"/>
      <c r="D16" s="4"/>
      <c r="E16" s="4"/>
      <c r="F16" s="4"/>
      <c r="G16" s="4"/>
      <c r="H16" s="4"/>
      <c r="I16" s="4"/>
      <c r="J16" s="4"/>
      <c r="K16" s="4"/>
      <c r="L16" s="4"/>
      <c r="M16" s="4"/>
      <c r="N16" s="4"/>
      <c r="O16" s="4"/>
      <c r="P16" s="4"/>
      <c r="Q16" s="4"/>
      <c r="R16" s="4"/>
      <c r="S16" s="4"/>
      <c r="T16" s="4"/>
    </row>
    <row r="17" spans="1:20" x14ac:dyDescent="0.25">
      <c r="A17" s="4"/>
      <c r="B17" s="4"/>
      <c r="C17" s="4"/>
      <c r="D17" s="4"/>
      <c r="E17" s="4"/>
      <c r="F17" s="4"/>
      <c r="G17" s="4"/>
      <c r="H17" s="4"/>
      <c r="I17" s="4"/>
      <c r="J17" s="4"/>
      <c r="K17" s="4"/>
      <c r="L17" s="4"/>
      <c r="M17" s="4"/>
      <c r="N17" s="4"/>
      <c r="O17" s="4"/>
      <c r="P17" s="4"/>
      <c r="Q17" s="4"/>
      <c r="R17" s="4"/>
      <c r="S17" s="4"/>
      <c r="T17" s="4"/>
    </row>
    <row r="18" spans="1:20" x14ac:dyDescent="0.25">
      <c r="A18" s="4"/>
      <c r="B18" s="4"/>
      <c r="C18" s="4"/>
      <c r="D18" s="4"/>
      <c r="E18" s="4"/>
      <c r="F18" s="4"/>
      <c r="G18" s="4"/>
      <c r="H18" s="4"/>
      <c r="I18" s="4"/>
      <c r="J18" s="4"/>
      <c r="K18" s="4"/>
      <c r="L18" s="4"/>
      <c r="M18" s="4"/>
      <c r="N18" s="4"/>
      <c r="O18" s="4"/>
      <c r="P18" s="4"/>
      <c r="Q18" s="4"/>
      <c r="R18" s="4"/>
      <c r="S18" s="4"/>
      <c r="T18" s="4"/>
    </row>
    <row r="19" spans="1:20" x14ac:dyDescent="0.25">
      <c r="A19" s="4"/>
      <c r="B19" s="4"/>
      <c r="C19" s="4"/>
      <c r="D19" s="4"/>
      <c r="E19" s="4"/>
      <c r="F19" s="4"/>
      <c r="G19" s="4"/>
      <c r="H19" s="4"/>
      <c r="I19" s="4"/>
      <c r="J19" s="4"/>
      <c r="K19" s="4"/>
      <c r="L19" s="4"/>
      <c r="M19" s="4"/>
      <c r="N19" s="4"/>
      <c r="O19" s="4"/>
      <c r="P19" s="4"/>
      <c r="Q19" s="4"/>
      <c r="R19" s="4"/>
      <c r="S19" s="4"/>
      <c r="T19" s="4"/>
    </row>
    <row r="20" spans="1:20" x14ac:dyDescent="0.25">
      <c r="A20" s="4"/>
      <c r="B20" s="4"/>
      <c r="C20" s="4"/>
      <c r="D20" s="4"/>
      <c r="E20" s="4"/>
      <c r="F20" s="4"/>
      <c r="G20" s="4"/>
      <c r="H20" s="4"/>
      <c r="I20" s="4"/>
      <c r="J20" s="4"/>
      <c r="K20" s="4"/>
      <c r="L20" s="4"/>
      <c r="M20" s="4"/>
      <c r="N20" s="4"/>
      <c r="O20" s="4"/>
      <c r="P20" s="4"/>
      <c r="Q20" s="4"/>
      <c r="R20" s="4"/>
      <c r="S20" s="4"/>
      <c r="T20" s="4"/>
    </row>
    <row r="21" spans="1:20" x14ac:dyDescent="0.25">
      <c r="A21" s="4"/>
      <c r="B21" s="4"/>
      <c r="C21" s="4"/>
      <c r="D21" s="4"/>
      <c r="E21" s="4"/>
      <c r="F21" s="4"/>
      <c r="G21" s="4"/>
      <c r="H21" s="4"/>
      <c r="I21" s="4"/>
      <c r="J21" s="4"/>
      <c r="K21" s="4"/>
      <c r="L21" s="4"/>
      <c r="M21" s="4"/>
      <c r="N21" s="4"/>
      <c r="O21" s="4"/>
      <c r="P21" s="4"/>
      <c r="Q21" s="4"/>
      <c r="R21" s="4"/>
      <c r="S21" s="4"/>
      <c r="T21" s="4"/>
    </row>
    <row r="22" spans="1:20" x14ac:dyDescent="0.25">
      <c r="A22" s="4"/>
      <c r="B22" s="4"/>
      <c r="C22" s="4"/>
      <c r="D22" s="4"/>
      <c r="E22" s="4"/>
      <c r="F22" s="4"/>
      <c r="G22" s="4"/>
      <c r="H22" s="4"/>
      <c r="I22" s="4"/>
      <c r="J22" s="4"/>
      <c r="K22" s="4"/>
      <c r="L22" s="4"/>
      <c r="M22" s="4"/>
      <c r="N22" s="4"/>
      <c r="O22" s="4"/>
      <c r="P22" s="4"/>
      <c r="Q22" s="4"/>
      <c r="R22" s="4"/>
      <c r="S22" s="4"/>
      <c r="T22" s="4"/>
    </row>
    <row r="23" spans="1:20" x14ac:dyDescent="0.25">
      <c r="A23" s="4"/>
      <c r="B23" s="4"/>
      <c r="C23" s="4"/>
      <c r="D23" s="4"/>
      <c r="E23" s="4"/>
      <c r="F23" s="4"/>
      <c r="G23" s="4"/>
      <c r="H23" s="4"/>
      <c r="I23" s="4"/>
      <c r="J23" s="4"/>
      <c r="K23" s="4"/>
      <c r="L23" s="4"/>
      <c r="M23" s="4"/>
      <c r="N23" s="4"/>
      <c r="O23" s="4"/>
      <c r="P23" s="4"/>
      <c r="Q23" s="4"/>
      <c r="R23" s="4"/>
      <c r="S23" s="4"/>
      <c r="T23" s="4"/>
    </row>
    <row r="24" spans="1:20" x14ac:dyDescent="0.25">
      <c r="A24" s="4"/>
      <c r="B24" s="4"/>
      <c r="C24" s="4"/>
      <c r="D24" s="4"/>
      <c r="E24" s="4"/>
      <c r="F24" s="4"/>
      <c r="G24" s="4"/>
      <c r="H24" s="4"/>
      <c r="I24" s="4"/>
      <c r="J24" s="4"/>
      <c r="K24" s="4"/>
      <c r="L24" s="4"/>
      <c r="M24" s="4"/>
      <c r="N24" s="4"/>
      <c r="O24" s="4"/>
      <c r="P24" s="4"/>
      <c r="Q24" s="4"/>
      <c r="R24" s="4"/>
      <c r="S24" s="4"/>
      <c r="T24" s="4"/>
    </row>
    <row r="25" spans="1:20" x14ac:dyDescent="0.25">
      <c r="A25" s="4"/>
      <c r="B25" s="4"/>
      <c r="C25" s="4"/>
      <c r="D25" s="4"/>
      <c r="E25" s="4"/>
      <c r="F25" s="4"/>
      <c r="G25" s="4"/>
      <c r="H25" s="4"/>
      <c r="I25" s="4"/>
      <c r="J25" s="4"/>
      <c r="K25" s="4"/>
      <c r="L25" s="4"/>
      <c r="M25" s="4"/>
      <c r="N25" s="4"/>
      <c r="O25" s="4"/>
      <c r="P25" s="4"/>
      <c r="Q25" s="4"/>
      <c r="R25" s="4"/>
      <c r="S25" s="4"/>
      <c r="T25"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CA611-CEA2-4935-9F51-B0F9FCEABE5A}">
  <dimension ref="A1:T25"/>
  <sheetViews>
    <sheetView workbookViewId="0"/>
  </sheetViews>
  <sheetFormatPr defaultRowHeight="15" x14ac:dyDescent="0.25"/>
  <sheetData>
    <row r="1" spans="1:20" x14ac:dyDescent="0.25">
      <c r="A1" s="4"/>
      <c r="B1" s="4"/>
      <c r="C1" s="4"/>
      <c r="D1" s="4"/>
      <c r="E1" s="4"/>
      <c r="F1" s="4"/>
      <c r="G1" s="4"/>
      <c r="H1" s="4"/>
      <c r="I1" s="4"/>
      <c r="J1" s="4"/>
      <c r="K1" s="4"/>
      <c r="L1" s="4"/>
      <c r="M1" s="4"/>
      <c r="N1" s="4"/>
      <c r="O1" s="4"/>
      <c r="P1" s="4"/>
      <c r="Q1" s="4"/>
      <c r="R1" s="4"/>
      <c r="S1" s="4"/>
      <c r="T1" s="4"/>
    </row>
    <row r="2" spans="1:20" x14ac:dyDescent="0.25">
      <c r="A2" s="4"/>
      <c r="B2" s="4"/>
      <c r="C2" s="4"/>
      <c r="D2" s="4"/>
      <c r="E2" s="4"/>
      <c r="F2" s="4"/>
      <c r="G2" s="4"/>
      <c r="H2" s="4"/>
      <c r="I2" s="4"/>
      <c r="J2" s="4"/>
      <c r="K2" s="4"/>
      <c r="L2" s="4"/>
      <c r="M2" s="4"/>
      <c r="N2" s="4"/>
      <c r="O2" s="4"/>
      <c r="P2" s="4"/>
      <c r="Q2" s="4"/>
      <c r="R2" s="4"/>
      <c r="S2" s="4"/>
      <c r="T2" s="4"/>
    </row>
    <row r="3" spans="1:20" x14ac:dyDescent="0.25">
      <c r="A3" s="4"/>
      <c r="B3" s="4"/>
      <c r="C3" s="4"/>
      <c r="D3" s="4"/>
      <c r="E3" s="4"/>
      <c r="F3" s="4"/>
      <c r="G3" s="4"/>
      <c r="H3" s="4"/>
      <c r="I3" s="4"/>
      <c r="J3" s="4"/>
      <c r="K3" s="4"/>
      <c r="L3" s="4"/>
      <c r="M3" s="4"/>
      <c r="N3" s="4"/>
      <c r="O3" s="4"/>
      <c r="P3" s="4"/>
      <c r="Q3" s="4"/>
      <c r="R3" s="4"/>
      <c r="S3" s="4"/>
      <c r="T3" s="4"/>
    </row>
    <row r="4" spans="1:20" x14ac:dyDescent="0.25">
      <c r="A4" s="4"/>
      <c r="B4" s="4"/>
      <c r="C4" s="4"/>
      <c r="D4" s="4"/>
      <c r="E4" s="4"/>
      <c r="F4" s="4"/>
      <c r="G4" s="4"/>
      <c r="H4" s="4"/>
      <c r="I4" s="4"/>
      <c r="J4" s="4"/>
      <c r="K4" s="4"/>
      <c r="L4" s="4"/>
      <c r="M4" s="4"/>
      <c r="N4" s="4"/>
      <c r="O4" s="4"/>
      <c r="P4" s="4"/>
      <c r="Q4" s="4"/>
      <c r="R4" s="4"/>
      <c r="S4" s="4"/>
      <c r="T4" s="4"/>
    </row>
    <row r="5" spans="1:20" x14ac:dyDescent="0.25">
      <c r="A5" s="4"/>
      <c r="B5" s="4"/>
      <c r="C5" s="4"/>
      <c r="D5" s="4"/>
      <c r="E5" s="4"/>
      <c r="F5" s="4"/>
      <c r="G5" s="4"/>
      <c r="H5" s="4"/>
      <c r="I5" s="4"/>
      <c r="J5" s="4"/>
      <c r="K5" s="4"/>
      <c r="L5" s="4"/>
      <c r="M5" s="4"/>
      <c r="N5" s="4"/>
      <c r="O5" s="4"/>
      <c r="P5" s="4"/>
      <c r="Q5" s="4"/>
      <c r="R5" s="4"/>
      <c r="S5" s="4"/>
      <c r="T5" s="4"/>
    </row>
    <row r="6" spans="1:20" x14ac:dyDescent="0.25">
      <c r="A6" s="4"/>
      <c r="B6" s="4"/>
      <c r="C6" s="4"/>
      <c r="D6" s="4"/>
      <c r="E6" s="4"/>
      <c r="F6" s="4"/>
      <c r="G6" s="4"/>
      <c r="H6" s="4"/>
      <c r="I6" s="4"/>
      <c r="J6" s="4"/>
      <c r="K6" s="4"/>
      <c r="L6" s="4"/>
      <c r="M6" s="4"/>
      <c r="N6" s="4"/>
      <c r="O6" s="4"/>
      <c r="P6" s="4"/>
      <c r="Q6" s="4"/>
      <c r="R6" s="4"/>
      <c r="S6" s="4"/>
      <c r="T6" s="4"/>
    </row>
    <row r="7" spans="1:20" x14ac:dyDescent="0.25">
      <c r="A7" s="4"/>
      <c r="B7" s="4"/>
      <c r="C7" s="4"/>
      <c r="D7" s="4"/>
      <c r="E7" s="4"/>
      <c r="F7" s="4"/>
      <c r="G7" s="4"/>
      <c r="H7" s="4"/>
      <c r="I7" s="4"/>
      <c r="J7" s="4"/>
      <c r="K7" s="4"/>
      <c r="L7" s="4"/>
      <c r="M7" s="4"/>
      <c r="N7" s="4"/>
      <c r="O7" s="4"/>
      <c r="P7" s="4"/>
      <c r="Q7" s="4"/>
      <c r="R7" s="4"/>
      <c r="S7" s="4"/>
      <c r="T7" s="4"/>
    </row>
    <row r="8" spans="1:20" x14ac:dyDescent="0.25">
      <c r="A8" s="4"/>
      <c r="B8" s="4"/>
      <c r="C8" s="4"/>
      <c r="D8" s="4"/>
      <c r="E8" s="4"/>
      <c r="F8" s="4"/>
      <c r="G8" s="4"/>
      <c r="H8" s="4"/>
      <c r="I8" s="4"/>
      <c r="J8" s="4"/>
      <c r="K8" s="4"/>
      <c r="L8" s="4"/>
      <c r="M8" s="4"/>
      <c r="N8" s="4"/>
      <c r="O8" s="4"/>
      <c r="P8" s="4"/>
      <c r="Q8" s="4"/>
      <c r="R8" s="4"/>
      <c r="S8" s="4"/>
      <c r="T8" s="4"/>
    </row>
    <row r="9" spans="1:20" x14ac:dyDescent="0.25">
      <c r="A9" s="4"/>
      <c r="B9" s="4"/>
      <c r="C9" s="4"/>
      <c r="D9" s="4"/>
      <c r="E9" s="4"/>
      <c r="F9" s="4"/>
      <c r="G9" s="4"/>
      <c r="H9" s="4"/>
      <c r="I9" s="4"/>
      <c r="J9" s="4"/>
      <c r="K9" s="4"/>
      <c r="L9" s="4"/>
      <c r="M9" s="4"/>
      <c r="N9" s="4"/>
      <c r="O9" s="4"/>
      <c r="P9" s="4"/>
      <c r="Q9" s="4"/>
      <c r="R9" s="4"/>
      <c r="S9" s="4"/>
      <c r="T9" s="4"/>
    </row>
    <row r="10" spans="1:20" x14ac:dyDescent="0.25">
      <c r="A10" s="4"/>
      <c r="B10" s="4"/>
      <c r="C10" s="4"/>
      <c r="D10" s="4"/>
      <c r="E10" s="4"/>
      <c r="F10" s="4"/>
      <c r="G10" s="4"/>
      <c r="H10" s="4"/>
      <c r="I10" s="4"/>
      <c r="J10" s="4"/>
      <c r="K10" s="4"/>
      <c r="L10" s="4"/>
      <c r="M10" s="4"/>
      <c r="N10" s="4"/>
      <c r="O10" s="4"/>
      <c r="P10" s="4"/>
      <c r="Q10" s="4"/>
      <c r="R10" s="4"/>
      <c r="S10" s="4"/>
      <c r="T10" s="4"/>
    </row>
    <row r="11" spans="1:20" x14ac:dyDescent="0.25">
      <c r="A11" s="4"/>
      <c r="B11" s="4"/>
      <c r="C11" s="4"/>
      <c r="D11" s="4"/>
      <c r="E11" s="4"/>
      <c r="F11" s="4"/>
      <c r="G11" s="4"/>
      <c r="H11" s="4"/>
      <c r="I11" s="4"/>
      <c r="J11" s="4"/>
      <c r="K11" s="4"/>
      <c r="L11" s="4"/>
      <c r="M11" s="4"/>
      <c r="N11" s="4"/>
      <c r="O11" s="4"/>
      <c r="P11" s="4"/>
      <c r="Q11" s="4"/>
      <c r="R11" s="4"/>
      <c r="S11" s="4"/>
      <c r="T11" s="4"/>
    </row>
    <row r="12" spans="1:20" x14ac:dyDescent="0.25">
      <c r="A12" s="4"/>
      <c r="B12" s="4"/>
      <c r="C12" s="4"/>
      <c r="D12" s="4"/>
      <c r="E12" s="4"/>
      <c r="F12" s="4"/>
      <c r="G12" s="4"/>
      <c r="H12" s="4"/>
      <c r="I12" s="4"/>
      <c r="J12" s="4"/>
      <c r="K12" s="4"/>
      <c r="L12" s="4"/>
      <c r="M12" s="4"/>
      <c r="N12" s="4"/>
      <c r="O12" s="4"/>
      <c r="P12" s="4"/>
      <c r="Q12" s="4"/>
      <c r="R12" s="4"/>
      <c r="S12" s="4"/>
      <c r="T12" s="4"/>
    </row>
    <row r="13" spans="1:20" x14ac:dyDescent="0.25">
      <c r="A13" s="4"/>
      <c r="B13" s="4"/>
      <c r="C13" s="4"/>
      <c r="D13" s="4"/>
      <c r="E13" s="4"/>
      <c r="F13" s="4"/>
      <c r="G13" s="4"/>
      <c r="H13" s="4"/>
      <c r="I13" s="4"/>
      <c r="J13" s="4"/>
      <c r="K13" s="4"/>
      <c r="L13" s="4"/>
      <c r="M13" s="4"/>
      <c r="N13" s="4"/>
      <c r="O13" s="4"/>
      <c r="P13" s="4"/>
      <c r="Q13" s="4"/>
      <c r="R13" s="4"/>
      <c r="S13" s="4"/>
      <c r="T13" s="4"/>
    </row>
    <row r="14" spans="1:20" x14ac:dyDescent="0.25">
      <c r="A14" s="4"/>
      <c r="B14" s="4"/>
      <c r="C14" s="4"/>
      <c r="D14" s="4"/>
      <c r="E14" s="4"/>
      <c r="F14" s="4"/>
      <c r="G14" s="4"/>
      <c r="H14" s="4"/>
      <c r="I14" s="4"/>
      <c r="J14" s="4"/>
      <c r="K14" s="4"/>
      <c r="L14" s="4"/>
      <c r="M14" s="4"/>
      <c r="N14" s="4"/>
      <c r="O14" s="4"/>
      <c r="P14" s="4"/>
      <c r="Q14" s="4"/>
      <c r="R14" s="4"/>
      <c r="S14" s="4"/>
      <c r="T14" s="4"/>
    </row>
    <row r="15" spans="1:20" x14ac:dyDescent="0.25">
      <c r="A15" s="4"/>
      <c r="B15" s="4"/>
      <c r="C15" s="4"/>
      <c r="D15" s="4"/>
      <c r="E15" s="4"/>
      <c r="F15" s="4"/>
      <c r="G15" s="4"/>
      <c r="H15" s="4"/>
      <c r="I15" s="4"/>
      <c r="J15" s="4"/>
      <c r="K15" s="4"/>
      <c r="L15" s="4"/>
      <c r="M15" s="4"/>
      <c r="N15" s="4"/>
      <c r="O15" s="4"/>
      <c r="P15" s="4"/>
      <c r="Q15" s="4"/>
      <c r="R15" s="4"/>
      <c r="S15" s="4"/>
      <c r="T15" s="4"/>
    </row>
    <row r="16" spans="1:20" x14ac:dyDescent="0.25">
      <c r="A16" s="4"/>
      <c r="B16" s="4"/>
      <c r="C16" s="4"/>
      <c r="D16" s="4"/>
      <c r="E16" s="4"/>
      <c r="F16" s="4"/>
      <c r="G16" s="4"/>
      <c r="H16" s="4"/>
      <c r="I16" s="4"/>
      <c r="J16" s="4"/>
      <c r="K16" s="4"/>
      <c r="L16" s="4"/>
      <c r="M16" s="4"/>
      <c r="N16" s="4"/>
      <c r="O16" s="4"/>
      <c r="P16" s="4"/>
      <c r="Q16" s="4"/>
      <c r="R16" s="4"/>
      <c r="S16" s="4"/>
      <c r="T16" s="4"/>
    </row>
    <row r="17" spans="1:20" x14ac:dyDescent="0.25">
      <c r="A17" s="4"/>
      <c r="B17" s="4"/>
      <c r="C17" s="4"/>
      <c r="D17" s="4"/>
      <c r="E17" s="4"/>
      <c r="F17" s="4"/>
      <c r="G17" s="4"/>
      <c r="H17" s="4"/>
      <c r="I17" s="4"/>
      <c r="J17" s="4"/>
      <c r="K17" s="4"/>
      <c r="L17" s="4"/>
      <c r="M17" s="4"/>
      <c r="N17" s="4"/>
      <c r="O17" s="4"/>
      <c r="P17" s="4"/>
      <c r="Q17" s="4"/>
      <c r="R17" s="4"/>
      <c r="S17" s="4"/>
      <c r="T17" s="4"/>
    </row>
    <row r="18" spans="1:20" x14ac:dyDescent="0.25">
      <c r="A18" s="4"/>
      <c r="B18" s="4"/>
      <c r="C18" s="4"/>
      <c r="D18" s="4"/>
      <c r="E18" s="4"/>
      <c r="F18" s="4"/>
      <c r="G18" s="4"/>
      <c r="H18" s="4"/>
      <c r="I18" s="4"/>
      <c r="J18" s="4"/>
      <c r="K18" s="4"/>
      <c r="L18" s="4"/>
      <c r="M18" s="4"/>
      <c r="N18" s="4"/>
      <c r="O18" s="4"/>
      <c r="P18" s="4"/>
      <c r="Q18" s="4"/>
      <c r="R18" s="4"/>
      <c r="S18" s="4"/>
      <c r="T18" s="4"/>
    </row>
    <row r="19" spans="1:20" x14ac:dyDescent="0.25">
      <c r="A19" s="4"/>
      <c r="B19" s="4"/>
      <c r="C19" s="4"/>
      <c r="D19" s="4"/>
      <c r="E19" s="4"/>
      <c r="F19" s="4"/>
      <c r="G19" s="4"/>
      <c r="H19" s="4"/>
      <c r="I19" s="4"/>
      <c r="J19" s="4"/>
      <c r="K19" s="4"/>
      <c r="L19" s="4"/>
      <c r="M19" s="4"/>
      <c r="N19" s="4"/>
      <c r="O19" s="4"/>
      <c r="P19" s="4"/>
      <c r="Q19" s="4"/>
      <c r="R19" s="4"/>
      <c r="S19" s="4"/>
      <c r="T19" s="4"/>
    </row>
    <row r="20" spans="1:20" x14ac:dyDescent="0.25">
      <c r="A20" s="4"/>
      <c r="B20" s="4"/>
      <c r="C20" s="4"/>
      <c r="D20" s="4"/>
      <c r="E20" s="4"/>
      <c r="F20" s="4"/>
      <c r="G20" s="4"/>
      <c r="H20" s="4"/>
      <c r="I20" s="4"/>
      <c r="J20" s="4"/>
      <c r="K20" s="4"/>
      <c r="L20" s="4"/>
      <c r="M20" s="4"/>
      <c r="N20" s="4"/>
      <c r="O20" s="4"/>
      <c r="P20" s="4"/>
      <c r="Q20" s="4"/>
      <c r="R20" s="4"/>
      <c r="S20" s="4"/>
      <c r="T20" s="4"/>
    </row>
    <row r="21" spans="1:20" x14ac:dyDescent="0.25">
      <c r="A21" s="4"/>
      <c r="B21" s="4"/>
      <c r="C21" s="4"/>
      <c r="D21" s="4"/>
      <c r="E21" s="4"/>
      <c r="F21" s="4"/>
      <c r="G21" s="4"/>
      <c r="H21" s="4"/>
      <c r="I21" s="4"/>
      <c r="J21" s="4"/>
      <c r="K21" s="4"/>
      <c r="L21" s="4"/>
      <c r="M21" s="4"/>
      <c r="N21" s="4"/>
      <c r="O21" s="4"/>
      <c r="P21" s="4"/>
      <c r="Q21" s="4"/>
      <c r="R21" s="4"/>
      <c r="S21" s="4"/>
      <c r="T21" s="4"/>
    </row>
    <row r="22" spans="1:20" x14ac:dyDescent="0.25">
      <c r="A22" s="4"/>
      <c r="B22" s="4"/>
      <c r="C22" s="4"/>
      <c r="D22" s="4"/>
      <c r="E22" s="4"/>
      <c r="F22" s="4"/>
      <c r="G22" s="4"/>
      <c r="H22" s="4"/>
      <c r="I22" s="4"/>
      <c r="J22" s="4"/>
      <c r="K22" s="4"/>
      <c r="L22" s="4"/>
      <c r="M22" s="4"/>
      <c r="N22" s="4"/>
      <c r="O22" s="4"/>
      <c r="P22" s="4"/>
      <c r="Q22" s="4"/>
      <c r="R22" s="4"/>
      <c r="S22" s="4"/>
      <c r="T22" s="4"/>
    </row>
    <row r="23" spans="1:20" x14ac:dyDescent="0.25">
      <c r="A23" s="4"/>
      <c r="B23" s="4"/>
      <c r="C23" s="4"/>
      <c r="D23" s="4"/>
      <c r="E23" s="4"/>
      <c r="F23" s="4"/>
      <c r="G23" s="4"/>
      <c r="H23" s="4"/>
      <c r="I23" s="4"/>
      <c r="J23" s="4"/>
      <c r="K23" s="4"/>
      <c r="L23" s="4"/>
      <c r="M23" s="4"/>
      <c r="N23" s="4"/>
      <c r="O23" s="4"/>
      <c r="P23" s="4"/>
      <c r="Q23" s="4"/>
      <c r="R23" s="4"/>
      <c r="S23" s="4"/>
      <c r="T23" s="4"/>
    </row>
    <row r="24" spans="1:20" x14ac:dyDescent="0.25">
      <c r="A24" s="4"/>
      <c r="B24" s="4"/>
      <c r="C24" s="4"/>
      <c r="D24" s="4"/>
      <c r="E24" s="4"/>
      <c r="F24" s="4"/>
      <c r="G24" s="4"/>
      <c r="H24" s="4"/>
      <c r="I24" s="4"/>
      <c r="J24" s="4"/>
      <c r="K24" s="4"/>
      <c r="L24" s="4"/>
      <c r="M24" s="4"/>
      <c r="N24" s="4"/>
      <c r="O24" s="4"/>
      <c r="P24" s="4"/>
      <c r="Q24" s="4"/>
      <c r="R24" s="4"/>
      <c r="S24" s="4"/>
      <c r="T24" s="4"/>
    </row>
    <row r="25" spans="1:20" x14ac:dyDescent="0.25">
      <c r="A25" s="4"/>
      <c r="B25" s="4"/>
      <c r="C25" s="4"/>
      <c r="D25" s="4"/>
      <c r="E25" s="4"/>
      <c r="F25" s="4"/>
      <c r="G25" s="4"/>
      <c r="H25" s="4"/>
      <c r="I25" s="4"/>
      <c r="J25" s="4"/>
      <c r="K25" s="4"/>
      <c r="L25" s="4"/>
      <c r="M25" s="4"/>
      <c r="N25" s="4"/>
      <c r="O25" s="4"/>
      <c r="P25" s="4"/>
      <c r="Q25" s="4"/>
      <c r="R25" s="4"/>
      <c r="S25" s="4"/>
      <c r="T25"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B8EBBA1-E480-4136-B804-842EF032B2B4}">
  <ds:schemaRefs/>
</ds:datastoreItem>
</file>

<file path=customXml/itemProps2.xml><?xml version="1.0" encoding="utf-8"?>
<ds:datastoreItem xmlns:ds="http://schemas.openxmlformats.org/officeDocument/2006/customXml" ds:itemID="{7279A149-C079-4531-9001-D45CF0973253}">
  <ds:schemaRefs>
    <ds:schemaRef ds:uri="http://schemas.microsoft.com/DataMashup"/>
  </ds:schemaRefs>
</ds:datastoreItem>
</file>

<file path=customXml/itemProps3.xml><?xml version="1.0" encoding="utf-8"?>
<ds:datastoreItem xmlns:ds="http://schemas.openxmlformats.org/officeDocument/2006/customXml" ds:itemID="{B3490682-1DEB-4173-97F7-DCCF5C72854B}">
  <ds:schemaRefs/>
</ds:datastoreItem>
</file>

<file path=customXml/itemProps4.xml><?xml version="1.0" encoding="utf-8"?>
<ds:datastoreItem xmlns:ds="http://schemas.openxmlformats.org/officeDocument/2006/customXml" ds:itemID="{B279A058-1D9E-4187-9ACB-CB2A87307C33}">
  <ds:schemaRefs/>
</ds:datastoreItem>
</file>

<file path=customXml/itemProps5.xml><?xml version="1.0" encoding="utf-8"?>
<ds:datastoreItem xmlns:ds="http://schemas.openxmlformats.org/officeDocument/2006/customXml" ds:itemID="{F77E4396-7095-41A2-ACC9-26520506D1F3}">
  <ds:schemaRefs/>
</ds:datastoreItem>
</file>

<file path=customXml/itemProps6.xml><?xml version="1.0" encoding="utf-8"?>
<ds:datastoreItem xmlns:ds="http://schemas.openxmlformats.org/officeDocument/2006/customXml" ds:itemID="{6BB22944-9E19-479D-B744-DBAFCDC9D4AC}">
  <ds:schemaRefs/>
</ds:datastoreItem>
</file>

<file path=customXml/itemProps7.xml><?xml version="1.0" encoding="utf-8"?>
<ds:datastoreItem xmlns:ds="http://schemas.openxmlformats.org/officeDocument/2006/customXml" ds:itemID="{D9B8702D-6FF1-492D-9758-CA3132B41072}">
  <ds:schemaRefs/>
</ds:datastoreItem>
</file>

<file path=customXml/itemProps8.xml><?xml version="1.0" encoding="utf-8"?>
<ds:datastoreItem xmlns:ds="http://schemas.openxmlformats.org/officeDocument/2006/customXml" ds:itemID="{275EFF65-2E61-4096-833D-D2FCD43A994A}">
  <ds:schemaRefs/>
</ds:datastoreItem>
</file>

<file path=customXml/itemProps9.xml><?xml version="1.0" encoding="utf-8"?>
<ds:datastoreItem xmlns:ds="http://schemas.openxmlformats.org/officeDocument/2006/customXml" ds:itemID="{DE8C8C9A-6528-49E8-B1BE-760806ABA2EA}">
  <ds:schemaRefs/>
</ds:datastoreItem>
</file>

<file path=customXml/itemProps10.xml><?xml version="1.0" encoding="utf-8"?>
<ds:datastoreItem xmlns:ds="http://schemas.openxmlformats.org/officeDocument/2006/customXml" ds:itemID="{328FA9E1-22FE-4EF5-8F61-241C4C3E6F74}">
  <ds:schemaRefs/>
</ds:datastoreItem>
</file>

<file path=customXml/itemProps11.xml><?xml version="1.0" encoding="utf-8"?>
<ds:datastoreItem xmlns:ds="http://schemas.openxmlformats.org/officeDocument/2006/customXml" ds:itemID="{46D34FA5-BD0A-4800-A12B-1ABF1EBE269D}">
  <ds:schemaRefs/>
</ds:datastoreItem>
</file>

<file path=customXml/itemProps12.xml><?xml version="1.0" encoding="utf-8"?>
<ds:datastoreItem xmlns:ds="http://schemas.openxmlformats.org/officeDocument/2006/customXml" ds:itemID="{5147A1F8-F05E-43B6-8C8A-8338A3AE38C6}">
  <ds:schemaRefs/>
</ds:datastoreItem>
</file>

<file path=customXml/itemProps13.xml><?xml version="1.0" encoding="utf-8"?>
<ds:datastoreItem xmlns:ds="http://schemas.openxmlformats.org/officeDocument/2006/customXml" ds:itemID="{9C8D2D04-90BD-41F0-A03C-F8C58456E3DF}">
  <ds:schemaRefs/>
</ds:datastoreItem>
</file>

<file path=customXml/itemProps14.xml><?xml version="1.0" encoding="utf-8"?>
<ds:datastoreItem xmlns:ds="http://schemas.openxmlformats.org/officeDocument/2006/customXml" ds:itemID="{2D9C4602-04D9-48D3-97B6-A605A7127729}">
  <ds:schemaRefs/>
</ds:datastoreItem>
</file>

<file path=customXml/itemProps15.xml><?xml version="1.0" encoding="utf-8"?>
<ds:datastoreItem xmlns:ds="http://schemas.openxmlformats.org/officeDocument/2006/customXml" ds:itemID="{6247F628-A837-4539-8F20-B428C8724B7A}">
  <ds:schemaRefs/>
</ds:datastoreItem>
</file>

<file path=customXml/itemProps16.xml><?xml version="1.0" encoding="utf-8"?>
<ds:datastoreItem xmlns:ds="http://schemas.openxmlformats.org/officeDocument/2006/customXml" ds:itemID="{4C12BC45-AB30-4265-9AAE-8B4FFDF3A8DF}">
  <ds:schemaRefs/>
</ds:datastoreItem>
</file>

<file path=customXml/itemProps17.xml><?xml version="1.0" encoding="utf-8"?>
<ds:datastoreItem xmlns:ds="http://schemas.openxmlformats.org/officeDocument/2006/customXml" ds:itemID="{E42E8575-FD91-47A5-A0FF-0F245E6D3E54}">
  <ds:schemaRefs/>
</ds:datastoreItem>
</file>

<file path=customXml/itemProps18.xml><?xml version="1.0" encoding="utf-8"?>
<ds:datastoreItem xmlns:ds="http://schemas.openxmlformats.org/officeDocument/2006/customXml" ds:itemID="{EFCE70E6-00D3-481F-B02B-CD7AC12854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Pivot Report</vt:lpstr>
      <vt:lpstr> Dashboard</vt:lpstr>
      <vt:lpstr> Total Patient</vt:lpstr>
      <vt:lpstr> AVG Wait Time</vt:lpstr>
      <vt:lpstr> AVG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Mandol</dc:creator>
  <cp:lastModifiedBy>Md  Mandol</cp:lastModifiedBy>
  <dcterms:created xsi:type="dcterms:W3CDTF">2026-04-25T02:25:26Z</dcterms:created>
  <dcterms:modified xsi:type="dcterms:W3CDTF">2026-04-27T23:33:45Z</dcterms:modified>
</cp:coreProperties>
</file>